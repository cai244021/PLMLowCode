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10055" activeTab="2"/>
  </bookViews>
  <sheets>
    <sheet name="PLM系统DA状态统计" sheetId="2" r:id="rId1"/>
    <sheet name="DA变更请求任务状态" sheetId="1" r:id="rId2"/>
    <sheet name="DA任务执行计划状态" sheetId="4" r:id="rId3"/>
  </sheets>
  <definedNames>
    <definedName name="_xlnm._FilterDatabase" localSheetId="1" hidden="1">DA变更请求任务状态!$A$1:$P$1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tc={52AC4673-5D8D-4BD1-B0B4-B8323EDFA61C}</author>
    <author>Lv Zhenxuan (Shanghai,CN)</author>
  </authors>
  <commentList>
    <comment ref="M3" author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按照责任人背后的部门抓取？</t>
        </r>
      </text>
    </comment>
    <comment ref="R3" authorId="1">
      <text>
        <r>
          <rPr>
            <b/>
            <sz val="9"/>
            <rFont val="宋体"/>
            <charset val="134"/>
          </rPr>
          <t>Lv Zhenxuan (Shanghai,CN):</t>
        </r>
        <r>
          <rPr>
            <sz val="9"/>
            <rFont val="宋体"/>
            <charset val="134"/>
          </rPr>
          <t xml:space="preserve">
如果找不到角色，就算总装AME（范围仅限总装/发泡/面套AME）</t>
        </r>
      </text>
    </comment>
    <comment ref="V3" authorId="1">
      <text>
        <r>
          <rPr>
            <b/>
            <sz val="9"/>
            <rFont val="宋体"/>
            <charset val="134"/>
          </rPr>
          <t>Lv Zhenxuan (Shanghai,CN):</t>
        </r>
        <r>
          <rPr>
            <sz val="9"/>
            <rFont val="宋体"/>
            <charset val="134"/>
          </rPr>
          <t xml:space="preserve">
如果找不到角色，所有的质量的都算AQE（范围仅限SQD/AQE）</t>
        </r>
      </text>
    </comment>
    <comment ref="F4" authorId="1">
      <text>
        <r>
          <rPr>
            <b/>
            <sz val="9"/>
            <rFont val="宋体"/>
            <charset val="134"/>
          </rPr>
          <t>Lv Zhenxuan (Shanghai,CN):</t>
        </r>
        <r>
          <rPr>
            <sz val="9"/>
            <rFont val="宋体"/>
            <charset val="134"/>
          </rPr>
          <t xml:space="preserve">
任意节点从任务接收到审批完成的时间超过3天算延期；状态已完成不算延期</t>
        </r>
      </text>
    </comment>
    <comment ref="M4" authorId="1">
      <text>
        <r>
          <rPr>
            <b/>
            <sz val="9"/>
            <rFont val="宋体"/>
            <charset val="134"/>
          </rPr>
          <t>Lv Zhenxuan (Shanghai,CN):</t>
        </r>
        <r>
          <rPr>
            <sz val="9"/>
            <rFont val="宋体"/>
            <charset val="134"/>
          </rPr>
          <t xml:space="preserve">
如果找不到项目SDT角色，就按照任务Owner所在部门匹配</t>
        </r>
      </text>
    </comment>
  </commentList>
</comments>
</file>

<file path=xl/comments2.xml><?xml version="1.0" encoding="utf-8"?>
<comments xmlns="http://schemas.openxmlformats.org/spreadsheetml/2006/main">
  <authors>
    <author>tc={EDC6BF0D-E466-4365-9225-1CB9FD7C42E9}</author>
    <author>Lv Zhenxuan (Shanghai,CN)</author>
  </authors>
  <commentList>
    <comment ref="H3" author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老版本DA抓责任人背后的组织然后进行匹配，新版本DA直接同ECO一样的逻辑</t>
        </r>
      </text>
    </comment>
    <comment ref="W3" authorId="1">
      <text>
        <r>
          <rPr>
            <b/>
            <sz val="9"/>
            <rFont val="宋体"/>
            <charset val="134"/>
          </rPr>
          <t>Lv Zhenxuan (Shanghai,CN):</t>
        </r>
        <r>
          <rPr>
            <sz val="9"/>
            <rFont val="宋体"/>
            <charset val="134"/>
          </rPr>
          <t xml:space="preserve">
如果找不到角色，就算总装AME（范围仅限总装/发泡/面套AME）</t>
        </r>
      </text>
    </comment>
    <comment ref="AI3" authorId="1">
      <text>
        <r>
          <rPr>
            <b/>
            <sz val="9"/>
            <rFont val="宋体"/>
            <charset val="134"/>
          </rPr>
          <t>Lv Zhenxuan (Shanghai,CN):</t>
        </r>
        <r>
          <rPr>
            <sz val="9"/>
            <rFont val="宋体"/>
            <charset val="134"/>
          </rPr>
          <t xml:space="preserve">
如果找不到角色，所有的质量的都算AQE（范围仅限SQD/AQE）</t>
        </r>
      </text>
    </comment>
  </commentList>
</comments>
</file>

<file path=xl/sharedStrings.xml><?xml version="1.0" encoding="utf-8"?>
<sst xmlns="http://schemas.openxmlformats.org/spreadsheetml/2006/main" count="133" uniqueCount="83">
  <si>
    <t>PLM中在跑DA状态--数量统计</t>
  </si>
  <si>
    <t>序号</t>
  </si>
  <si>
    <t>项目编号</t>
  </si>
  <si>
    <t>项目名称</t>
  </si>
  <si>
    <t>DA总数量</t>
  </si>
  <si>
    <t>DA审批中数量</t>
  </si>
  <si>
    <t>DA审批延期数量</t>
  </si>
  <si>
    <t>延期审批比例</t>
  </si>
  <si>
    <t>系统审批流</t>
  </si>
  <si>
    <t>直线经理审批
【已延期个数】</t>
  </si>
  <si>
    <t>项目总工程师/PDL审批
【已延期个数】</t>
  </si>
  <si>
    <t>项目经理/PM审批
【已延期个数】</t>
  </si>
  <si>
    <t>项目经理/PM启动DA
【已延期个数】</t>
  </si>
  <si>
    <t>DA执行计划反馈
【已延期个数】</t>
  </si>
  <si>
    <t>项目经理/PM关闭DA
【已延期个数】</t>
  </si>
  <si>
    <t>已关闭</t>
  </si>
  <si>
    <t>备注</t>
  </si>
  <si>
    <t>审批状态</t>
  </si>
  <si>
    <t>未审批</t>
  </si>
  <si>
    <t>未启动</t>
  </si>
  <si>
    <t>SDT-项目总工程师/PDL
研发部</t>
  </si>
  <si>
    <t>SDT-项目财务经理/PC
财务部</t>
  </si>
  <si>
    <t>SDT-项目采购经理/PUR
采购部</t>
  </si>
  <si>
    <t>SDT-项目质量经理/PQL
质量部</t>
  </si>
  <si>
    <t>SDT-项目物流经理/Log
物流部</t>
  </si>
  <si>
    <t>SDT-项目工艺经理/总装AME
制造工程部</t>
  </si>
  <si>
    <t>SDT-项目工艺经理/发泡AME
制造工程部</t>
  </si>
  <si>
    <t>SDT-项目工艺经理/面套AME
制造工程部</t>
  </si>
  <si>
    <t>SDT-launch经理/LM
运营部</t>
  </si>
  <si>
    <t>未关闭</t>
  </si>
  <si>
    <t>PLM中已创建的DA总数（所有状态的DA）</t>
  </si>
  <si>
    <t>DA总数量-DA延期数量-已完成的DA</t>
  </si>
  <si>
    <t>任意一个审批节点延期就视为延期</t>
  </si>
  <si>
    <t>DA延期数量/DA总数量</t>
  </si>
  <si>
    <t>收到审批任务＞3天未审批</t>
  </si>
  <si>
    <t>DA状态为“任务发布”的持续时间大于1天</t>
  </si>
  <si>
    <t>超出执行计划预计完成时间的</t>
  </si>
  <si>
    <t>未关闭的DA当前日期＞DA关闭时间3天的</t>
  </si>
  <si>
    <t>各项目延期审批DA数量统计</t>
  </si>
  <si>
    <t xml:space="preserve"> </t>
  </si>
  <si>
    <t>ECR合计</t>
  </si>
  <si>
    <t>各职能延期审批
ECR数量总计</t>
  </si>
  <si>
    <t>名称</t>
  </si>
  <si>
    <t>标题</t>
  </si>
  <si>
    <t>所有者</t>
  </si>
  <si>
    <t>创建时间</t>
  </si>
  <si>
    <t>当前状态</t>
  </si>
  <si>
    <t>DA 启动时间</t>
  </si>
  <si>
    <t>DA关闭时间</t>
  </si>
  <si>
    <t>是否延期</t>
  </si>
  <si>
    <t>延期关闭时间</t>
  </si>
  <si>
    <t>直线经理审批接收时间</t>
  </si>
  <si>
    <t>直线经理审批完成时间</t>
  </si>
  <si>
    <t>项目总工程师/PDL审批接收时间</t>
  </si>
  <si>
    <t>项目总工程师/PDL审批完成时间</t>
  </si>
  <si>
    <t>项目经理/PM审批接收时间</t>
  </si>
  <si>
    <t>项目经理/PM审批完成时间</t>
  </si>
  <si>
    <t>项目经理/PM任务发布接收时间</t>
  </si>
  <si>
    <t>项目经理/PM任务发布完成时间</t>
  </si>
  <si>
    <t>项目阶段</t>
  </si>
  <si>
    <t>变更类型</t>
  </si>
  <si>
    <t>影响工厂</t>
  </si>
  <si>
    <t>偏差原因/描述</t>
  </si>
  <si>
    <t>变更前</t>
  </si>
  <si>
    <t>变更后</t>
  </si>
  <si>
    <t>PLM中在跑DA执行计划状态--数量统计</t>
  </si>
  <si>
    <t>DA执行计划号</t>
  </si>
  <si>
    <t>DA号</t>
  </si>
  <si>
    <t>DA执行计划反馈（项目经理/PM已派发任务）</t>
  </si>
  <si>
    <t>SDT-项目总工程师/PDL</t>
  </si>
  <si>
    <t>SDT-项目财务经理/PC</t>
  </si>
  <si>
    <t>SDT-项目采购经理/PUR</t>
  </si>
  <si>
    <t>SDT-项目供应商管理经理/ASQ</t>
  </si>
  <si>
    <t>SDT-项目物流经理/Log</t>
  </si>
  <si>
    <t>SDT-项目工艺经理/总装AME</t>
  </si>
  <si>
    <t>SDT-项目工艺经理/发泡AME</t>
  </si>
  <si>
    <t>SDT-项目工艺经理/面套AME</t>
  </si>
  <si>
    <t>SDT-launch经理/LM</t>
  </si>
  <si>
    <t>SDT-项目质量经理/PQL</t>
  </si>
  <si>
    <t>DA执行计划任务状态</t>
  </si>
  <si>
    <t>计划完成时间</t>
  </si>
  <si>
    <t>实际完成时间</t>
  </si>
  <si>
    <t>责任人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</si>
</sst>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799920651875362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Down="1">
      <left/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7" applyNumberFormat="0" applyFill="0" applyAlignment="0" applyProtection="0">
      <alignment vertical="center"/>
    </xf>
    <xf numFmtId="0" fontId="12" fillId="0" borderId="27" applyNumberFormat="0" applyFill="0" applyAlignment="0" applyProtection="0">
      <alignment vertical="center"/>
    </xf>
    <xf numFmtId="0" fontId="13" fillId="0" borderId="2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29" applyNumberFormat="0" applyAlignment="0" applyProtection="0">
      <alignment vertical="center"/>
    </xf>
    <xf numFmtId="0" fontId="15" fillId="6" borderId="30" applyNumberFormat="0" applyAlignment="0" applyProtection="0">
      <alignment vertical="center"/>
    </xf>
    <xf numFmtId="0" fontId="16" fillId="6" borderId="29" applyNumberFormat="0" applyAlignment="0" applyProtection="0">
      <alignment vertical="center"/>
    </xf>
    <xf numFmtId="0" fontId="17" fillId="7" borderId="31" applyNumberFormat="0" applyAlignment="0" applyProtection="0">
      <alignment vertical="center"/>
    </xf>
    <xf numFmtId="0" fontId="18" fillId="0" borderId="32" applyNumberFormat="0" applyFill="0" applyAlignment="0" applyProtection="0">
      <alignment vertical="center"/>
    </xf>
    <xf numFmtId="0" fontId="19" fillId="0" borderId="3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9" fontId="3" fillId="3" borderId="1" xfId="3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183515</xdr:colOff>
      <xdr:row>3</xdr:row>
      <xdr:rowOff>265430</xdr:rowOff>
    </xdr:from>
    <xdr:to>
      <xdr:col>1</xdr:col>
      <xdr:colOff>819785</xdr:colOff>
      <xdr:row>4</xdr:row>
      <xdr:rowOff>16510</xdr:rowOff>
    </xdr:to>
    <xdr:sp>
      <xdr:nvSpPr>
        <xdr:cNvPr id="3" name="矩形 2"/>
        <xdr:cNvSpPr/>
      </xdr:nvSpPr>
      <xdr:spPr>
        <a:xfrm>
          <a:off x="183515" y="2218055"/>
          <a:ext cx="1367790" cy="461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2000">
              <a:solidFill>
                <a:schemeClr val="tx1"/>
              </a:solidFill>
            </a:rPr>
            <a:t>数据</a:t>
          </a:r>
          <a:endParaRPr lang="zh-CN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174625</xdr:colOff>
      <xdr:row>3</xdr:row>
      <xdr:rowOff>65405</xdr:rowOff>
    </xdr:from>
    <xdr:to>
      <xdr:col>3</xdr:col>
      <xdr:colOff>86360</xdr:colOff>
      <xdr:row>3</xdr:row>
      <xdr:rowOff>525780</xdr:rowOff>
    </xdr:to>
    <xdr:sp>
      <xdr:nvSpPr>
        <xdr:cNvPr id="4" name="矩形 3"/>
        <xdr:cNvSpPr/>
      </xdr:nvSpPr>
      <xdr:spPr>
        <a:xfrm>
          <a:off x="2262505" y="2018030"/>
          <a:ext cx="1656715" cy="460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2000">
              <a:solidFill>
                <a:schemeClr val="tx1"/>
              </a:solidFill>
            </a:rPr>
            <a:t>说明</a:t>
          </a:r>
          <a:endParaRPr lang="zh-CN" altLang="en-US" sz="20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"/>
  <sheetViews>
    <sheetView workbookViewId="0">
      <pane ySplit="4" topLeftCell="A5" activePane="bottomLeft" state="frozen"/>
      <selection/>
      <selection pane="bottomLeft" activeCell="D6" sqref="D6"/>
    </sheetView>
  </sheetViews>
  <sheetFormatPr defaultColWidth="9" defaultRowHeight="24.75" customHeight="1" outlineLevelRow="5"/>
  <cols>
    <col min="1" max="1" width="10.6666666666667" style="1" customWidth="1"/>
    <col min="2" max="2" width="19.7777777777778" style="1" customWidth="1"/>
    <col min="3" max="3" width="25.4444444444444" style="1" customWidth="1"/>
    <col min="4" max="4" width="22.2222222222222" style="1" customWidth="1"/>
    <col min="5" max="5" width="20.6666666666667" style="1" customWidth="1"/>
    <col min="6" max="7" width="18.3333333333333" style="1" customWidth="1"/>
    <col min="8" max="8" width="18.2222222222222" style="1" customWidth="1"/>
    <col min="9" max="9" width="15.7777777777778" style="1" customWidth="1"/>
    <col min="10" max="10" width="16.6666666666667" style="1" customWidth="1"/>
    <col min="11" max="12" width="18.7777777777778" style="1" customWidth="1"/>
    <col min="13" max="13" width="16.4444444444444" customWidth="1"/>
    <col min="14" max="14" width="16.7777777777778" customWidth="1"/>
    <col min="15" max="15" width="17.1111111111111" customWidth="1"/>
    <col min="16" max="16" width="17.7777777777778" customWidth="1"/>
    <col min="17" max="17" width="17.3333333333333" customWidth="1"/>
    <col min="18" max="20" width="18.6666666666667" customWidth="1"/>
    <col min="21" max="21" width="17.3333333333333" customWidth="1"/>
    <col min="22" max="22" width="23.2222222222222" customWidth="1"/>
    <col min="23" max="23" width="16.7777777777778" customWidth="1"/>
    <col min="24" max="24" width="16.2222222222222" style="1" customWidth="1"/>
    <col min="25" max="25" width="9.44444444444444" style="1" customWidth="1"/>
    <col min="26" max="16384" width="9" style="1"/>
  </cols>
  <sheetData>
    <row r="1" customHeight="1" spans="1: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8"/>
    </row>
    <row r="2" ht="54" customHeight="1" spans="1:25">
      <c r="A2" s="19" t="s">
        <v>1</v>
      </c>
      <c r="B2" s="20" t="s">
        <v>2</v>
      </c>
      <c r="C2" s="20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2" t="s">
        <v>8</v>
      </c>
      <c r="I2" s="23" t="s">
        <v>9</v>
      </c>
      <c r="J2" s="23" t="s">
        <v>10</v>
      </c>
      <c r="K2" s="21" t="s">
        <v>11</v>
      </c>
      <c r="L2" s="24" t="s">
        <v>12</v>
      </c>
      <c r="M2" s="24" t="s">
        <v>13</v>
      </c>
      <c r="N2" s="25"/>
      <c r="O2" s="25"/>
      <c r="P2" s="25"/>
      <c r="Q2" s="25"/>
      <c r="R2" s="25"/>
      <c r="S2" s="25"/>
      <c r="T2" s="25"/>
      <c r="U2" s="25"/>
      <c r="V2" s="26"/>
      <c r="W2" s="24" t="s">
        <v>14</v>
      </c>
      <c r="X2" s="21" t="s">
        <v>15</v>
      </c>
      <c r="Y2" s="22" t="s">
        <v>16</v>
      </c>
    </row>
    <row r="3" ht="75" customHeight="1" spans="1:25">
      <c r="A3" s="22"/>
      <c r="B3" s="22"/>
      <c r="C3" s="27"/>
      <c r="D3" s="22"/>
      <c r="E3" s="22"/>
      <c r="F3" s="22"/>
      <c r="G3" s="22"/>
      <c r="H3" s="22" t="s">
        <v>17</v>
      </c>
      <c r="I3" s="28" t="s">
        <v>18</v>
      </c>
      <c r="J3" s="28" t="s">
        <v>18</v>
      </c>
      <c r="K3" s="28" t="s">
        <v>18</v>
      </c>
      <c r="L3" s="29" t="s">
        <v>19</v>
      </c>
      <c r="M3" s="28" t="s">
        <v>20</v>
      </c>
      <c r="N3" s="30" t="s">
        <v>21</v>
      </c>
      <c r="O3" s="28" t="s">
        <v>22</v>
      </c>
      <c r="P3" s="28" t="s">
        <v>23</v>
      </c>
      <c r="Q3" s="31" t="s">
        <v>24</v>
      </c>
      <c r="R3" s="32" t="s">
        <v>25</v>
      </c>
      <c r="S3" s="32" t="s">
        <v>26</v>
      </c>
      <c r="T3" s="32" t="s">
        <v>27</v>
      </c>
      <c r="U3" s="28" t="s">
        <v>28</v>
      </c>
      <c r="V3" s="33" t="s">
        <v>23</v>
      </c>
      <c r="W3" s="29" t="s">
        <v>29</v>
      </c>
      <c r="X3" s="21"/>
      <c r="Y3" s="22"/>
    </row>
    <row r="4" ht="55.95" customHeight="1" spans="1:25">
      <c r="A4" s="34"/>
      <c r="B4" s="35"/>
      <c r="C4" s="36"/>
      <c r="D4" s="37" t="s">
        <v>30</v>
      </c>
      <c r="E4" s="37" t="s">
        <v>31</v>
      </c>
      <c r="F4" s="37" t="s">
        <v>32</v>
      </c>
      <c r="G4" s="37" t="s">
        <v>33</v>
      </c>
      <c r="H4" s="37"/>
      <c r="I4" s="37" t="s">
        <v>34</v>
      </c>
      <c r="J4" s="37" t="s">
        <v>34</v>
      </c>
      <c r="K4" s="37" t="s">
        <v>34</v>
      </c>
      <c r="L4" s="38" t="s">
        <v>35</v>
      </c>
      <c r="M4" s="39" t="s">
        <v>36</v>
      </c>
      <c r="N4" s="39" t="s">
        <v>36</v>
      </c>
      <c r="O4" s="39" t="s">
        <v>36</v>
      </c>
      <c r="P4" s="39" t="s">
        <v>36</v>
      </c>
      <c r="Q4" s="39" t="s">
        <v>36</v>
      </c>
      <c r="R4" s="39" t="s">
        <v>36</v>
      </c>
      <c r="S4" s="39" t="s">
        <v>36</v>
      </c>
      <c r="T4" s="39" t="s">
        <v>36</v>
      </c>
      <c r="U4" s="39" t="s">
        <v>36</v>
      </c>
      <c r="V4" s="39" t="s">
        <v>36</v>
      </c>
      <c r="W4" s="37" t="s">
        <v>37</v>
      </c>
      <c r="X4" s="21"/>
      <c r="Y4" s="21"/>
    </row>
    <row r="5" ht="28" customHeight="1" spans="1:25">
      <c r="A5" s="14">
        <v>1</v>
      </c>
      <c r="B5" s="14"/>
      <c r="C5" s="14"/>
      <c r="D5" s="14"/>
      <c r="E5" s="14"/>
      <c r="F5" s="14"/>
      <c r="G5" s="40"/>
      <c r="H5" s="41" t="s">
        <v>38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>
        <v>0</v>
      </c>
      <c r="Y5" s="14" t="s">
        <v>39</v>
      </c>
    </row>
    <row r="6" ht="55.05" customHeight="1" spans="1:25">
      <c r="A6" s="42" t="s">
        <v>40</v>
      </c>
      <c r="B6" s="43"/>
      <c r="C6" s="44"/>
      <c r="D6" s="22">
        <f>SUM(D5:D5)</f>
        <v>0</v>
      </c>
      <c r="E6" s="22">
        <f>D6-F6-X6</f>
        <v>0</v>
      </c>
      <c r="F6" s="22">
        <f>SUM(F5:F5)</f>
        <v>0</v>
      </c>
      <c r="G6" s="45" t="e">
        <f>F6/D6</f>
        <v>#DIV/0!</v>
      </c>
      <c r="H6" s="21" t="s">
        <v>41</v>
      </c>
      <c r="I6" s="46">
        <f>SUM(I5:I5)</f>
        <v>0</v>
      </c>
      <c r="J6" s="22"/>
      <c r="K6" s="22">
        <f>SUM(K5:K5)</f>
        <v>0</v>
      </c>
      <c r="L6" s="22"/>
      <c r="M6" s="47">
        <f t="shared" ref="M6:V6" si="0">SUM(M2:M5)</f>
        <v>0</v>
      </c>
      <c r="N6" s="48">
        <f t="shared" si="0"/>
        <v>0</v>
      </c>
      <c r="O6" s="48">
        <f t="shared" si="0"/>
        <v>0</v>
      </c>
      <c r="P6" s="48">
        <f t="shared" si="0"/>
        <v>0</v>
      </c>
      <c r="Q6" s="44">
        <f t="shared" si="0"/>
        <v>0</v>
      </c>
      <c r="R6" s="44">
        <f t="shared" si="0"/>
        <v>0</v>
      </c>
      <c r="S6" s="44">
        <f t="shared" si="0"/>
        <v>0</v>
      </c>
      <c r="T6" s="44">
        <f t="shared" si="0"/>
        <v>0</v>
      </c>
      <c r="U6" s="44">
        <f t="shared" si="0"/>
        <v>0</v>
      </c>
      <c r="V6" s="49">
        <f t="shared" si="0"/>
        <v>0</v>
      </c>
      <c r="W6" s="22"/>
      <c r="X6" s="22">
        <f>SUM(X5:X5)</f>
        <v>0</v>
      </c>
      <c r="Y6" s="50"/>
    </row>
  </sheetData>
  <mergeCells count="13">
    <mergeCell ref="A1:Y1"/>
    <mergeCell ref="M2:V2"/>
    <mergeCell ref="A4:C4"/>
    <mergeCell ref="A6:C6"/>
    <mergeCell ref="A2:A3"/>
    <mergeCell ref="B2:B3"/>
    <mergeCell ref="C2:C3"/>
    <mergeCell ref="D2:D3"/>
    <mergeCell ref="E2:E3"/>
    <mergeCell ref="F2:F3"/>
    <mergeCell ref="G2:G3"/>
    <mergeCell ref="X2:X3"/>
    <mergeCell ref="Y2:Y3"/>
  </mergeCells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2"/>
  <sheetViews>
    <sheetView workbookViewId="0">
      <pane ySplit="1" topLeftCell="A2" activePane="bottomLeft" state="frozen"/>
      <selection/>
      <selection pane="bottomLeft" activeCell="N1" sqref="N1"/>
    </sheetView>
  </sheetViews>
  <sheetFormatPr defaultColWidth="21.6666666666667" defaultRowHeight="20.7" customHeight="1" outlineLevelRow="1"/>
  <cols>
    <col min="1" max="1" width="11" customWidth="1"/>
    <col min="2" max="2" width="19.3333333333333" customWidth="1"/>
    <col min="3" max="3" width="31.3333333333333" customWidth="1"/>
    <col min="4" max="4" width="20.4444444444444" customWidth="1"/>
    <col min="5" max="5" width="29.6666666666667" customWidth="1"/>
    <col min="6" max="10" width="42.8888888888889" customWidth="1"/>
    <col min="11" max="11" width="28.3333333333333" customWidth="1"/>
    <col min="12" max="12" width="26.7777777777778" customWidth="1"/>
    <col min="13" max="13" width="24.2222222222222" customWidth="1"/>
    <col min="14" max="14" width="23.6666666666667" customWidth="1"/>
    <col min="15" max="15" width="24.7777777777778" customWidth="1"/>
    <col min="16" max="18" width="24.3333333333333" customWidth="1"/>
  </cols>
  <sheetData>
    <row r="1" s="9" customFormat="1" ht="52" customHeight="1" spans="1:26">
      <c r="A1" s="11" t="s">
        <v>1</v>
      </c>
      <c r="B1" s="11" t="s">
        <v>42</v>
      </c>
      <c r="C1" s="11" t="s">
        <v>43</v>
      </c>
      <c r="D1" s="11" t="s">
        <v>44</v>
      </c>
      <c r="E1" s="11" t="s">
        <v>45</v>
      </c>
      <c r="F1" s="11" t="s">
        <v>46</v>
      </c>
      <c r="G1" s="12" t="s">
        <v>47</v>
      </c>
      <c r="H1" s="12" t="s">
        <v>48</v>
      </c>
      <c r="I1" s="12" t="s">
        <v>49</v>
      </c>
      <c r="J1" s="12" t="s">
        <v>50</v>
      </c>
      <c r="K1" s="12" t="s">
        <v>51</v>
      </c>
      <c r="L1" s="12" t="s">
        <v>52</v>
      </c>
      <c r="M1" s="12" t="s">
        <v>53</v>
      </c>
      <c r="N1" s="12" t="s">
        <v>54</v>
      </c>
      <c r="O1" s="12" t="s">
        <v>55</v>
      </c>
      <c r="P1" s="12" t="s">
        <v>56</v>
      </c>
      <c r="Q1" s="13" t="s">
        <v>57</v>
      </c>
      <c r="R1" s="13" t="s">
        <v>58</v>
      </c>
      <c r="S1" s="13" t="s">
        <v>2</v>
      </c>
      <c r="T1" s="13" t="s">
        <v>3</v>
      </c>
      <c r="U1" s="13" t="s">
        <v>59</v>
      </c>
      <c r="V1" s="13" t="s">
        <v>60</v>
      </c>
      <c r="W1" s="13" t="s">
        <v>61</v>
      </c>
      <c r="X1" s="13" t="s">
        <v>62</v>
      </c>
      <c r="Y1" s="13" t="s">
        <v>63</v>
      </c>
      <c r="Z1" s="13" t="s">
        <v>64</v>
      </c>
    </row>
    <row r="2" s="10" customFormat="1" customHeight="1" spans="1:2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</sheetData>
  <conditionalFormatting sqref="A1:R1">
    <cfRule type="cellIs" dxfId="0" priority="3" operator="equal">
      <formula>"会签"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4"/>
  <sheetViews>
    <sheetView tabSelected="1" workbookViewId="0">
      <pane ySplit="4" topLeftCell="A5" activePane="bottomLeft" state="frozen"/>
      <selection/>
      <selection pane="bottomLeft" activeCell="D12" sqref="D12"/>
    </sheetView>
  </sheetViews>
  <sheetFormatPr defaultColWidth="8.88888888888889" defaultRowHeight="13.8" outlineLevelRow="3"/>
  <cols>
    <col min="1" max="1" width="8.88888888888889" customWidth="1"/>
    <col min="2" max="2" width="17.7777777777778" customWidth="1"/>
    <col min="3" max="3" width="42.7777777777778" customWidth="1"/>
    <col min="4" max="5" width="17.7777777777778" customWidth="1"/>
    <col min="6" max="6" width="20.7777777777778" customWidth="1"/>
    <col min="7" max="7" width="21.5555555555556" customWidth="1"/>
    <col min="8" max="9" width="17.7777777777778" customWidth="1"/>
    <col min="10" max="10" width="16.7777777777778" customWidth="1"/>
    <col min="11" max="12" width="17.7777777777778" customWidth="1"/>
    <col min="13" max="13" width="16.7777777777778" customWidth="1"/>
    <col min="14" max="15" width="17.7777777777778" customWidth="1"/>
    <col min="16" max="16" width="16.7777777777778" customWidth="1"/>
    <col min="17" max="18" width="17.7777777777778" customWidth="1"/>
    <col min="19" max="19" width="16.7777777777778" customWidth="1"/>
    <col min="20" max="21" width="17.7777777777778" customWidth="1"/>
    <col min="22" max="22" width="16.7777777777778" customWidth="1"/>
    <col min="23" max="24" width="17.7777777777778" customWidth="1"/>
    <col min="25" max="31" width="16.7777777777778" customWidth="1"/>
    <col min="32" max="33" width="17.7777777777778" customWidth="1"/>
    <col min="34" max="34" width="16.7777777777778" customWidth="1"/>
    <col min="35" max="36" width="17.7777777777778" customWidth="1"/>
    <col min="37" max="37" width="16.7777777777778" customWidth="1"/>
  </cols>
  <sheetData>
    <row r="1" s="1" customFormat="1" ht="24.75" customHeight="1" spans="1:38">
      <c r="A1" s="2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="1" customFormat="1" ht="42.75" customHeight="1" spans="1:38">
      <c r="A2" s="3" t="s">
        <v>1</v>
      </c>
      <c r="B2" s="4" t="s">
        <v>66</v>
      </c>
      <c r="C2" s="4" t="s">
        <v>42</v>
      </c>
      <c r="D2" s="4" t="s">
        <v>67</v>
      </c>
      <c r="E2" s="4" t="s">
        <v>2</v>
      </c>
      <c r="F2" s="3" t="s">
        <v>3</v>
      </c>
      <c r="G2" s="4" t="s">
        <v>8</v>
      </c>
      <c r="H2" s="5" t="s">
        <v>68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3" t="s">
        <v>16</v>
      </c>
    </row>
    <row r="3" s="1" customFormat="1" ht="42.75" customHeight="1" spans="1:38">
      <c r="A3" s="3"/>
      <c r="B3" s="6"/>
      <c r="C3" s="6"/>
      <c r="D3" s="6"/>
      <c r="E3" s="6"/>
      <c r="F3" s="3"/>
      <c r="G3" s="7"/>
      <c r="H3" s="5" t="s">
        <v>69</v>
      </c>
      <c r="I3" s="5"/>
      <c r="J3" s="5"/>
      <c r="K3" s="3" t="s">
        <v>70</v>
      </c>
      <c r="L3" s="3"/>
      <c r="M3" s="3"/>
      <c r="N3" s="3" t="s">
        <v>71</v>
      </c>
      <c r="O3" s="3"/>
      <c r="P3" s="3"/>
      <c r="Q3" s="3" t="s">
        <v>72</v>
      </c>
      <c r="R3" s="3"/>
      <c r="S3" s="3"/>
      <c r="T3" s="3" t="s">
        <v>73</v>
      </c>
      <c r="U3" s="3"/>
      <c r="V3" s="3"/>
      <c r="W3" s="3" t="s">
        <v>74</v>
      </c>
      <c r="X3" s="3"/>
      <c r="Y3" s="3"/>
      <c r="Z3" s="3" t="s">
        <v>75</v>
      </c>
      <c r="AA3" s="3"/>
      <c r="AB3" s="3"/>
      <c r="AC3" s="3" t="s">
        <v>76</v>
      </c>
      <c r="AD3" s="3"/>
      <c r="AE3" s="3"/>
      <c r="AF3" s="3" t="s">
        <v>77</v>
      </c>
      <c r="AG3" s="3"/>
      <c r="AH3" s="3"/>
      <c r="AI3" s="5" t="s">
        <v>78</v>
      </c>
      <c r="AJ3" s="5"/>
      <c r="AK3" s="5"/>
      <c r="AL3" s="3"/>
    </row>
    <row r="4" s="1" customFormat="1" ht="33.75" customHeight="1" spans="1:38">
      <c r="A4" s="3"/>
      <c r="B4" s="7"/>
      <c r="C4" s="7"/>
      <c r="D4" s="7"/>
      <c r="E4" s="7"/>
      <c r="F4" s="3"/>
      <c r="G4" s="3" t="s">
        <v>79</v>
      </c>
      <c r="H4" s="8" t="s">
        <v>80</v>
      </c>
      <c r="I4" s="8" t="s">
        <v>81</v>
      </c>
      <c r="J4" s="8" t="s">
        <v>82</v>
      </c>
      <c r="K4" s="8" t="s">
        <v>80</v>
      </c>
      <c r="L4" s="8" t="s">
        <v>81</v>
      </c>
      <c r="M4" s="8" t="s">
        <v>82</v>
      </c>
      <c r="N4" s="8" t="s">
        <v>80</v>
      </c>
      <c r="O4" s="8" t="s">
        <v>81</v>
      </c>
      <c r="P4" s="8" t="s">
        <v>82</v>
      </c>
      <c r="Q4" s="8" t="s">
        <v>80</v>
      </c>
      <c r="R4" s="8" t="s">
        <v>81</v>
      </c>
      <c r="S4" s="8" t="s">
        <v>82</v>
      </c>
      <c r="T4" s="8" t="s">
        <v>80</v>
      </c>
      <c r="U4" s="8" t="s">
        <v>81</v>
      </c>
      <c r="V4" s="8" t="s">
        <v>82</v>
      </c>
      <c r="W4" s="8" t="s">
        <v>80</v>
      </c>
      <c r="X4" s="8" t="s">
        <v>81</v>
      </c>
      <c r="Y4" s="8" t="s">
        <v>82</v>
      </c>
      <c r="Z4" s="8" t="s">
        <v>80</v>
      </c>
      <c r="AA4" s="8" t="s">
        <v>81</v>
      </c>
      <c r="AB4" s="8" t="s">
        <v>82</v>
      </c>
      <c r="AC4" s="8" t="s">
        <v>80</v>
      </c>
      <c r="AD4" s="8" t="s">
        <v>81</v>
      </c>
      <c r="AE4" s="8" t="s">
        <v>82</v>
      </c>
      <c r="AF4" s="8" t="s">
        <v>80</v>
      </c>
      <c r="AG4" s="8" t="s">
        <v>81</v>
      </c>
      <c r="AH4" s="8" t="s">
        <v>82</v>
      </c>
      <c r="AI4" s="8" t="s">
        <v>80</v>
      </c>
      <c r="AJ4" s="8" t="s">
        <v>81</v>
      </c>
      <c r="AK4" s="8" t="s">
        <v>82</v>
      </c>
      <c r="AL4" s="3"/>
    </row>
  </sheetData>
  <mergeCells count="20">
    <mergeCell ref="A1:AL1"/>
    <mergeCell ref="H2:AK2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2:A4"/>
    <mergeCell ref="B2:B4"/>
    <mergeCell ref="C2:C4"/>
    <mergeCell ref="D2:D4"/>
    <mergeCell ref="E2:E4"/>
    <mergeCell ref="F2:F4"/>
    <mergeCell ref="G2:G3"/>
    <mergeCell ref="AL2:AL4"/>
  </mergeCell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C2D25390-7545-4624-89F8-0E305050D9BA}">
  <ds:schemaRefs/>
</ds:datastoreItem>
</file>

<file path=customXml/itemProps2.xml><?xml version="1.0" encoding="utf-8"?>
<ds:datastoreItem xmlns:ds="http://schemas.openxmlformats.org/officeDocument/2006/customXml" ds:itemID="{F8585E1B-6298-4E4D-A495-F509D5F5152C}">
  <ds:schemaRefs/>
</ds:datastoreItem>
</file>

<file path=customXml/itemProps3.xml><?xml version="1.0" encoding="utf-8"?>
<ds:datastoreItem xmlns:ds="http://schemas.openxmlformats.org/officeDocument/2006/customXml" ds:itemID="{BF04C8B9-65B1-48CC-B76B-68E7F1CB10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PLM系统DA状态统计</vt:lpstr>
      <vt:lpstr>DA变更请求任务状态</vt:lpstr>
      <vt:lpstr>DA任务执行计划状态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lcy</dc:creator>
  <cp:lastModifiedBy>喜乐</cp:lastModifiedBy>
  <dcterms:created xsi:type="dcterms:W3CDTF">2024-12-25T03:51:00Z</dcterms:created>
  <dcterms:modified xsi:type="dcterms:W3CDTF">2026-06-25T09:41:22Z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3DC6DDBFA8FC47549D528E0EA14944D9_13</vt:lpwstr>
  </property>
  <property fmtid="{D5CDD505-2E9C-101B-9397-08002B2CF9AE}" pid="4" name="ContentTypeId">
    <vt:lpwstr>0x0101004C05DFBCBBA0BE408D34206CBDC1782F</vt:lpwstr>
  </property>
  <property fmtid="{D5CDD505-2E9C-101B-9397-08002B2CF9AE}" pid="5" name="CalculationRule">
    <vt:i4>0</vt:i4>
  </property>
</Properties>
</file>