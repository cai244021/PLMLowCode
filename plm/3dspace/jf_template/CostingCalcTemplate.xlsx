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055" activeTab="1"/>
  </bookViews>
  <sheets>
    <sheet name="系统属性" sheetId="4" r:id="rId1"/>
    <sheet name="CostingLogical" sheetId="1" r:id="rId2"/>
    <sheet name="选项匹配" sheetId="3" r:id="rId3"/>
  </sheets>
  <definedNames>
    <definedName name="_xlnm._FilterDatabase" localSheetId="0" hidden="1">系统属性!$A$1:$H$157</definedName>
    <definedName name="_xlnm._FilterDatabase" localSheetId="1" hidden="1">CostingLogical!$B$1:$I$34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<sst xmlns="http://schemas.openxmlformats.org/spreadsheetml/2006/main" count="1292" uniqueCount="491">
  <si>
    <t>序号</t>
  </si>
  <si>
    <t>对象</t>
  </si>
  <si>
    <t>属性</t>
  </si>
  <si>
    <t>名称</t>
  </si>
  <si>
    <t>类型</t>
  </si>
  <si>
    <t>属性值</t>
  </si>
  <si>
    <t>所属分类</t>
  </si>
  <si>
    <t>备注</t>
  </si>
  <si>
    <t>零组件</t>
  </si>
  <si>
    <t>EnterpriseExtension.V_PartNumber</t>
  </si>
  <si>
    <t>零件号</t>
  </si>
  <si>
    <t>字符串</t>
  </si>
  <si>
    <t>NA</t>
  </si>
  <si>
    <t>JF_VPMReference.JF_Detail_CN</t>
  </si>
  <si>
    <t>详细类别-CN</t>
  </si>
  <si>
    <t>JF_VPMReference.JF_Detail_EN</t>
  </si>
  <si>
    <t>详细类别-EN</t>
  </si>
  <si>
    <t>JF_VPMReference.JF_PartNameCN</t>
  </si>
  <si>
    <t>零件中文名称</t>
  </si>
  <si>
    <t>JF_VPMReference.JF_PartNameEN</t>
  </si>
  <si>
    <t>零件英文名称</t>
  </si>
  <si>
    <t>JF_VPMReference.PartType</t>
  </si>
  <si>
    <t>零件类型</t>
  </si>
  <si>
    <t>JF_VPMReference.PartSubType</t>
  </si>
  <si>
    <t>零件子类型</t>
  </si>
  <si>
    <t>JF_VPMReference.JF_ProcurementType</t>
  </si>
  <si>
    <t>零件采购类型</t>
  </si>
  <si>
    <t>JF_VPMReference.JF_DirectBuy</t>
  </si>
  <si>
    <t>DirectBuy</t>
  </si>
  <si>
    <t>JF_VPMReference.Weight</t>
  </si>
  <si>
    <t>参考重量</t>
  </si>
  <si>
    <t>JF_VPMReference.JF_WeightTarget</t>
  </si>
  <si>
    <t>实际重量</t>
  </si>
  <si>
    <t>JF_VPMReference.JF_Unit</t>
  </si>
  <si>
    <t>单位</t>
  </si>
  <si>
    <t>JF_VPMReference.JF_ProjectRel</t>
  </si>
  <si>
    <t>项目名称</t>
  </si>
  <si>
    <t>JF_VPMReference.Fabric</t>
  </si>
  <si>
    <t>面料</t>
  </si>
  <si>
    <t>JF_VPMReference.ProcurementGroup</t>
  </si>
  <si>
    <t>采购分组</t>
  </si>
  <si>
    <t>JF_VPMReference.Material</t>
  </si>
  <si>
    <t>材料</t>
  </si>
  <si>
    <t>JF_VPMReference.MaterialStar</t>
  </si>
  <si>
    <t>材料标准</t>
  </si>
  <si>
    <t>JF_VPMReference.MaterialCode</t>
  </si>
  <si>
    <t>材料牌号</t>
  </si>
  <si>
    <t>JF_VPMReference.SubstituteMaterial</t>
  </si>
  <si>
    <t>替代材料</t>
  </si>
  <si>
    <t>JF_VPMReference.MaterialDensity</t>
  </si>
  <si>
    <t>材料密度(kg/m3)</t>
  </si>
  <si>
    <t>JF_VPMReference.RecycleMaterialRatio</t>
  </si>
  <si>
    <t>回料比例(%)</t>
  </si>
  <si>
    <t>JF_VPMReference.ConnectDR</t>
  </si>
  <si>
    <t>关联DR</t>
  </si>
  <si>
    <t>JF_VPMReference.ConnectECR</t>
  </si>
  <si>
    <t>关联ECR</t>
  </si>
  <si>
    <t>JF_VPMReference.OriginalPart</t>
  </si>
  <si>
    <t>是否原件</t>
  </si>
  <si>
    <t>JF_VPMReference.FlexiblePart</t>
  </si>
  <si>
    <t>是否变形件</t>
  </si>
  <si>
    <t>JF_VPMReference.TransformationPlan</t>
  </si>
  <si>
    <t>变形件方案</t>
  </si>
  <si>
    <t>Function</t>
  </si>
  <si>
    <t>功能用途</t>
  </si>
  <si>
    <t>JFLength</t>
  </si>
  <si>
    <t>长(mm)</t>
  </si>
  <si>
    <t>实数</t>
  </si>
  <si>
    <t>JFWidth</t>
  </si>
  <si>
    <t>宽(mm)</t>
  </si>
  <si>
    <t>JFHeight</t>
  </si>
  <si>
    <t>高(mm)</t>
  </si>
  <si>
    <t>JFThickness</t>
  </si>
  <si>
    <t>厚(mm)</t>
  </si>
  <si>
    <t>Diam</t>
  </si>
  <si>
    <t>直径(mm)</t>
  </si>
  <si>
    <t>Inside Diameter</t>
  </si>
  <si>
    <t>内径(mm)</t>
  </si>
  <si>
    <t>CustomerPartNumber</t>
  </si>
  <si>
    <t>客户零件号</t>
  </si>
  <si>
    <t>CustomerPartRevision</t>
  </si>
  <si>
    <t>客户零件版本号</t>
  </si>
  <si>
    <t>CustomerPartDes</t>
  </si>
  <si>
    <t>客户零件号描述</t>
  </si>
  <si>
    <t>CustomerDrawingNumber</t>
  </si>
  <si>
    <t>客户图纸号</t>
  </si>
  <si>
    <t>Supplier</t>
  </si>
  <si>
    <t>供应商</t>
  </si>
  <si>
    <t>SupplierPartNumber</t>
  </si>
  <si>
    <t>供应商零件号</t>
  </si>
  <si>
    <t>Craft</t>
  </si>
  <si>
    <t>工艺</t>
  </si>
  <si>
    <t>Surface Treatment</t>
  </si>
  <si>
    <t>表面处理</t>
  </si>
  <si>
    <t>PlatingThickness</t>
  </si>
  <si>
    <t>镀层厚度</t>
  </si>
  <si>
    <t>SurfaceTreatmentArea</t>
  </si>
  <si>
    <t>表面处理面积(m2)</t>
  </si>
  <si>
    <t>SurfaceTreatmentGrade</t>
  </si>
  <si>
    <t>表面处理等级</t>
  </si>
  <si>
    <t>Area</t>
  </si>
  <si>
    <t>面积(m2)</t>
  </si>
  <si>
    <t>NetArea</t>
  </si>
  <si>
    <t>净面积(m2)</t>
  </si>
  <si>
    <t>Volume</t>
  </si>
  <si>
    <t>体积(cm3)</t>
  </si>
  <si>
    <t>Circumference</t>
  </si>
  <si>
    <t>周长(mm)</t>
  </si>
  <si>
    <t>GramWeight</t>
  </si>
  <si>
    <t>克重（g/m2）</t>
  </si>
  <si>
    <t>WeldingType</t>
  </si>
  <si>
    <t>焊接类型</t>
  </si>
  <si>
    <t>WeldingSpotQuantity</t>
  </si>
  <si>
    <t>焊缝（焊点）数</t>
  </si>
  <si>
    <t>WeldingLength</t>
  </si>
  <si>
    <t>焊缝长度(mm)</t>
  </si>
  <si>
    <t>BendingMumber</t>
  </si>
  <si>
    <t>折弯数</t>
  </si>
  <si>
    <t>整数</t>
  </si>
  <si>
    <t>FlatteningQuantity</t>
  </si>
  <si>
    <t>拍扁数</t>
  </si>
  <si>
    <t>PunchingQuantity</t>
  </si>
  <si>
    <t>冲孔数</t>
  </si>
  <si>
    <t>CutQuantity</t>
  </si>
  <si>
    <t>切口数</t>
  </si>
  <si>
    <t>ContractedTubeQuantity</t>
  </si>
  <si>
    <t>缩管数</t>
  </si>
  <si>
    <t>CompositeLayerType</t>
  </si>
  <si>
    <t>复合层类型</t>
  </si>
  <si>
    <t>CompositeLayerDensity</t>
  </si>
  <si>
    <t>复合层密度(kg/m3)</t>
  </si>
  <si>
    <t>BackingType</t>
  </si>
  <si>
    <t>底布类型</t>
  </si>
  <si>
    <t>BackingDensity</t>
  </si>
  <si>
    <t>底布克重(g/m2)</t>
  </si>
  <si>
    <t>ZipperType</t>
  </si>
  <si>
    <t>拉链类型</t>
  </si>
  <si>
    <t>ThreadType</t>
  </si>
  <si>
    <t>缝线类型</t>
  </si>
  <si>
    <t>StitchesQuantity</t>
  </si>
  <si>
    <t>缝线数</t>
  </si>
  <si>
    <t>LengthofSingleSuture</t>
  </si>
  <si>
    <t>单条缝线长度(mm)</t>
  </si>
  <si>
    <t>TypeofPipingCore</t>
  </si>
  <si>
    <t>芯的类型</t>
  </si>
  <si>
    <t>DiameterofPipingCore</t>
  </si>
  <si>
    <t>芯的直径(mm)</t>
  </si>
  <si>
    <t>Perforation</t>
  </si>
  <si>
    <t>打孔</t>
  </si>
  <si>
    <t>PerforationQuantity</t>
  </si>
  <si>
    <t>打孔数</t>
  </si>
  <si>
    <t>Quilting</t>
  </si>
  <si>
    <t>绗缝</t>
  </si>
  <si>
    <t>QuiltingAttachment</t>
  </si>
  <si>
    <t>绗缝附件</t>
  </si>
  <si>
    <t>BondingProcess</t>
  </si>
  <si>
    <t>贴合工艺</t>
  </si>
  <si>
    <t>BlindStitch</t>
  </si>
  <si>
    <t>盲缝</t>
  </si>
  <si>
    <t>Pattern</t>
  </si>
  <si>
    <t>图案</t>
  </si>
  <si>
    <t>PatternAttachment</t>
  </si>
  <si>
    <t>图案附件</t>
  </si>
  <si>
    <t>HotPressingorNot</t>
  </si>
  <si>
    <t>是否热压</t>
  </si>
  <si>
    <t>BackAdhesiveorNot</t>
  </si>
  <si>
    <t>是否背胶</t>
  </si>
  <si>
    <t>BackAdhesiveArea</t>
  </si>
  <si>
    <t>背胶面积(m2)</t>
  </si>
  <si>
    <t>AdhesiveSprayingorNot</t>
  </si>
  <si>
    <t>是否喷胶</t>
  </si>
  <si>
    <t>SlowReboundorNot</t>
  </si>
  <si>
    <t>是否慢回弹</t>
  </si>
  <si>
    <t>FoamMoldType</t>
  </si>
  <si>
    <t>发泡模具类型</t>
  </si>
  <si>
    <t>MagneticPowderIronNails</t>
  </si>
  <si>
    <t>磁粉片/铁皮钉</t>
  </si>
  <si>
    <t>MagneticPowderIronNailsQuantity</t>
  </si>
  <si>
    <t>（磁粉片\铁皮钉）数量</t>
  </si>
  <si>
    <t>Specification</t>
  </si>
  <si>
    <t>规格</t>
  </si>
  <si>
    <t>JFPitch</t>
  </si>
  <si>
    <t>牙距(mm)</t>
  </si>
  <si>
    <t>AcrossFlats</t>
  </si>
  <si>
    <t>对边</t>
  </si>
  <si>
    <t>Thickness</t>
  </si>
  <si>
    <t>厚度</t>
  </si>
  <si>
    <t>PerformanceLevel</t>
  </si>
  <si>
    <t>性能等级</t>
  </si>
  <si>
    <t>Rigidity</t>
  </si>
  <si>
    <t>硬度</t>
  </si>
  <si>
    <t>CaseDepth</t>
  </si>
  <si>
    <t>渗碳层深度</t>
  </si>
  <si>
    <t>ShearLoad</t>
  </si>
  <si>
    <t>剪切载荷</t>
  </si>
  <si>
    <t>TensileLoad</t>
  </si>
  <si>
    <t>拉力载荷</t>
  </si>
  <si>
    <t>GuarantLoad</t>
  </si>
  <si>
    <t>保证载荷</t>
  </si>
  <si>
    <t>Salt Spray Test Time</t>
  </si>
  <si>
    <t>盐雾实验时间</t>
  </si>
  <si>
    <t>NominalLength</t>
  </si>
  <si>
    <t>公称长度(mm)</t>
  </si>
  <si>
    <t>Step Height</t>
  </si>
  <si>
    <t>台阶高度(mm)</t>
  </si>
  <si>
    <t>StepDiameter</t>
  </si>
  <si>
    <t>台阶直径(mm)</t>
  </si>
  <si>
    <t>Beatle</t>
  </si>
  <si>
    <t>披头</t>
  </si>
  <si>
    <t>Grip Range</t>
  </si>
  <si>
    <t>铆接范围</t>
  </si>
  <si>
    <t>Matching Hole Dameter</t>
  </si>
  <si>
    <t>对配孔直径(mm)</t>
  </si>
  <si>
    <t>DestructiveTorque</t>
  </si>
  <si>
    <t>破环扭矩</t>
  </si>
  <si>
    <t>MountingTorque</t>
  </si>
  <si>
    <t>安装扭矩</t>
  </si>
  <si>
    <t>MatchStructuralHoleDiameter</t>
  </si>
  <si>
    <t>匹配结构孔直径</t>
  </si>
  <si>
    <t>Match The Thickness of the Structure</t>
  </si>
  <si>
    <t>匹配结构厚度</t>
  </si>
  <si>
    <t>InsertionForce</t>
  </si>
  <si>
    <t>插入力</t>
  </si>
  <si>
    <t>PulloutForce</t>
  </si>
  <si>
    <t>拔出力</t>
  </si>
  <si>
    <t>BundledDiameter</t>
  </si>
  <si>
    <t>捆绑直径</t>
  </si>
  <si>
    <t>StitchingThickness</t>
  </si>
  <si>
    <t>铆接厚度</t>
  </si>
  <si>
    <t>ScrewInsertionTorque</t>
  </si>
  <si>
    <t>螺钉旋入扭矩</t>
  </si>
  <si>
    <t>MatchStructuralWallThickness</t>
  </si>
  <si>
    <t>匹配结构壁厚</t>
  </si>
  <si>
    <t>IS Anti Loosening Adhesive</t>
  </si>
  <si>
    <t>是否带防松胶</t>
  </si>
  <si>
    <t>ExpandedPipeNumber</t>
  </si>
  <si>
    <t>胀管数量</t>
  </si>
  <si>
    <t>ColdDrawn</t>
  </si>
  <si>
    <t>冷拔</t>
  </si>
  <si>
    <t>GripNumber</t>
  </si>
  <si>
    <t>铆接数量</t>
  </si>
  <si>
    <t>HeatTreatment</t>
  </si>
  <si>
    <t>热处理</t>
  </si>
  <si>
    <t>Thread</t>
  </si>
  <si>
    <t>攻螺纹</t>
  </si>
  <si>
    <t>Chamfer</t>
  </si>
  <si>
    <t>倒角</t>
  </si>
  <si>
    <t>MassPerMeters</t>
  </si>
  <si>
    <t>米重（g/m）</t>
  </si>
  <si>
    <t>LockStrength</t>
  </si>
  <si>
    <t>锁止强度</t>
  </si>
  <si>
    <t>PeelStrength</t>
  </si>
  <si>
    <t>剥离强度</t>
  </si>
  <si>
    <t>BlockPointStrength</t>
  </si>
  <si>
    <t>挡点强度</t>
  </si>
  <si>
    <t>XaxisClearance</t>
  </si>
  <si>
    <t>X向间隙</t>
  </si>
  <si>
    <t>YaxisClearance</t>
  </si>
  <si>
    <t>Y向间隙</t>
  </si>
  <si>
    <t>ZaxisClearance</t>
  </si>
  <si>
    <t>Z向间隙</t>
  </si>
  <si>
    <t>SingleTrackCrossSecDimensions</t>
  </si>
  <si>
    <t>单轨截面尺寸</t>
  </si>
  <si>
    <t>RailTypeThickness</t>
  </si>
  <si>
    <t>轨型厚度</t>
  </si>
  <si>
    <t>Stroke</t>
  </si>
  <si>
    <t>行程</t>
  </si>
  <si>
    <t>Durability</t>
  </si>
  <si>
    <t>耐久（次）</t>
  </si>
  <si>
    <t>AdjustAngleDeviceSpecification</t>
  </si>
  <si>
    <t>调角器规格</t>
  </si>
  <si>
    <t>TransmissionRatio</t>
  </si>
  <si>
    <t>传动比</t>
  </si>
  <si>
    <t>OperatingIdleStroke</t>
  </si>
  <si>
    <t>操作空行程</t>
  </si>
  <si>
    <t>HandleExcessiveForce</t>
  </si>
  <si>
    <t>把手滥用力</t>
  </si>
  <si>
    <t>AxialFailureStrength</t>
  </si>
  <si>
    <t>轴向破坏强度</t>
  </si>
  <si>
    <t>OutputTeethNumber</t>
  </si>
  <si>
    <t>输出齿数</t>
  </si>
  <si>
    <t>JFTolerance</t>
  </si>
  <si>
    <t>容差（mm）</t>
  </si>
  <si>
    <t>UnLockForce</t>
  </si>
  <si>
    <t>解锁力（N）</t>
  </si>
  <si>
    <t>LockForce</t>
  </si>
  <si>
    <t>锁止力（N）</t>
  </si>
  <si>
    <t>DrivingTorque</t>
  </si>
  <si>
    <t>驱动扭矩</t>
  </si>
  <si>
    <t>OperatingForce</t>
  </si>
  <si>
    <t>操作力</t>
  </si>
  <si>
    <t>Speed</t>
  </si>
  <si>
    <t>速度</t>
  </si>
  <si>
    <t>BackrestAngle</t>
  </si>
  <si>
    <t>靠背角度</t>
  </si>
  <si>
    <t>OperatingSound</t>
  </si>
  <si>
    <t>运行声音</t>
  </si>
  <si>
    <t>NoLoadSpeed</t>
  </si>
  <si>
    <t>空载转速</t>
  </si>
  <si>
    <t>NoLoadCurrent</t>
  </si>
  <si>
    <t>空载电流</t>
  </si>
  <si>
    <t>LockedTorque</t>
  </si>
  <si>
    <t>堵转扭矩</t>
  </si>
  <si>
    <t>LockedCurrent</t>
  </si>
  <si>
    <t>堵转电流</t>
  </si>
  <si>
    <t>DamageTorque</t>
  </si>
  <si>
    <t>破坏扭矩</t>
  </si>
  <si>
    <t>WhetherMemory</t>
  </si>
  <si>
    <t>带/不带记忆</t>
  </si>
  <si>
    <t>EMCLevel</t>
  </si>
  <si>
    <t>EMC水平</t>
  </si>
  <si>
    <t>NoiseLevel</t>
  </si>
  <si>
    <t>噪声水平</t>
  </si>
  <si>
    <t>CycleLife</t>
  </si>
  <si>
    <t>循环寿命</t>
  </si>
  <si>
    <t>零组件BOM</t>
  </si>
  <si>
    <t>JF_VPMInstance.JF_Dosage</t>
  </si>
  <si>
    <t>用量</t>
  </si>
  <si>
    <t>JF_VPMInstance.JF_FNA</t>
  </si>
  <si>
    <t>FNA</t>
  </si>
  <si>
    <t>JF_VPMInstance.JF_OnlyEBOMPart</t>
  </si>
  <si>
    <t>仅EBOM件</t>
  </si>
  <si>
    <t>JF_VPMInstance.JF_ProcurementType</t>
  </si>
  <si>
    <t>EBOM采购类型</t>
  </si>
  <si>
    <t>JF_VPMInstance.JF_Symmetry</t>
  </si>
  <si>
    <t>对称</t>
  </si>
  <si>
    <t>对象类型</t>
  </si>
  <si>
    <t>参数类型</t>
  </si>
  <si>
    <t>值</t>
  </si>
  <si>
    <t>成本分析</t>
  </si>
  <si>
    <t>面套成本核算</t>
  </si>
  <si>
    <t>JF Fabric Material Unit Price</t>
  </si>
  <si>
    <t>面料单价</t>
  </si>
  <si>
    <t>输入</t>
  </si>
  <si>
    <t>公式</t>
  </si>
  <si>
    <t>JF Utilization</t>
  </si>
  <si>
    <t>利用率</t>
  </si>
  <si>
    <t>JF Fabric Cost</t>
  </si>
  <si>
    <t>面料价格</t>
  </si>
  <si>
    <t>JF Foam Unit Price</t>
  </si>
  <si>
    <t>海绵单价</t>
  </si>
  <si>
    <t>JF Foam Cost</t>
  </si>
  <si>
    <t>海绵价格</t>
  </si>
  <si>
    <t>JF Backing Unit Price</t>
  </si>
  <si>
    <t>底布单价</t>
  </si>
  <si>
    <t>JF Backing Cost</t>
  </si>
  <si>
    <t>底布价格</t>
  </si>
  <si>
    <t>JF Retainer Unit Price</t>
  </si>
  <si>
    <t>型条单价</t>
  </si>
  <si>
    <t>JF Retainer Cost</t>
  </si>
  <si>
    <t>型条价格</t>
  </si>
  <si>
    <t>JF Piping Unit Price</t>
  </si>
  <si>
    <t>绲边单价</t>
  </si>
  <si>
    <t>JF Piping Cost</t>
  </si>
  <si>
    <t>绲边价格</t>
  </si>
  <si>
    <t>JF Elastic Unit Price</t>
  </si>
  <si>
    <t>松紧带单价</t>
  </si>
  <si>
    <t>JF Elastic Cost</t>
  </si>
  <si>
    <t>松紧带价格</t>
  </si>
  <si>
    <t>JF Strap Assy Unit Price</t>
  </si>
  <si>
    <t>织物拉带单价</t>
  </si>
  <si>
    <t>JF Strap Assy Cost</t>
  </si>
  <si>
    <t>织物拉带价格</t>
  </si>
  <si>
    <t>JF Thread Unit Price</t>
  </si>
  <si>
    <t>缝线单价</t>
  </si>
  <si>
    <t>JF Thread Cost</t>
  </si>
  <si>
    <t>缝线价格</t>
  </si>
  <si>
    <t>JF Zipper Unit Price</t>
  </si>
  <si>
    <t>拉链单价</t>
  </si>
  <si>
    <t>JF Zipper Cost</t>
  </si>
  <si>
    <t>拉链价格</t>
  </si>
  <si>
    <t>JF Label Unit Price</t>
  </si>
  <si>
    <t>标签单价</t>
  </si>
  <si>
    <t>JF Label Cost</t>
  </si>
  <si>
    <t>标签价格</t>
  </si>
  <si>
    <t>JF Material Cost</t>
  </si>
  <si>
    <t>材料费</t>
  </si>
  <si>
    <t>JF Fabric Material Type</t>
  </si>
  <si>
    <t>是否真皮</t>
  </si>
  <si>
    <t>N</t>
  </si>
  <si>
    <t>JF Pattern Layer Quantity</t>
  </si>
  <si>
    <t>裁片层数</t>
  </si>
  <si>
    <t>JF Cutting Velocity</t>
  </si>
  <si>
    <t>裁片速度（m/min)</t>
  </si>
  <si>
    <t>JF Fabric Material Cutting CT</t>
  </si>
  <si>
    <t>裁剪面料CT</t>
  </si>
  <si>
    <t>JF Fabric Material Cutting Manufacturing Rate</t>
  </si>
  <si>
    <t>裁剪面料费率</t>
  </si>
  <si>
    <t>JF Fabric Material Cutting Cost</t>
  </si>
  <si>
    <t>裁剪面料制费</t>
  </si>
  <si>
    <t>JF Piercing Velocity</t>
  </si>
  <si>
    <t>设备打孔速度 (孔/min）</t>
  </si>
  <si>
    <t>JF Piercing CT</t>
  </si>
  <si>
    <t>打孔CT(Min)</t>
  </si>
  <si>
    <t>JF Piercing Manufacturing Rate</t>
  </si>
  <si>
    <t xml:space="preserve">生产Rate /Min </t>
  </si>
  <si>
    <t>JF OEE</t>
  </si>
  <si>
    <t>OEE</t>
  </si>
  <si>
    <t>JF Scrap Rate</t>
  </si>
  <si>
    <t>Scrap</t>
  </si>
  <si>
    <t>JF Piercing Comsumables</t>
  </si>
  <si>
    <t>打孔耗材</t>
  </si>
  <si>
    <t>JF Piercing Cost</t>
  </si>
  <si>
    <t>打孔制费</t>
  </si>
  <si>
    <t>JF Overlock Stitch CT</t>
  </si>
  <si>
    <t>圈缝工时</t>
  </si>
  <si>
    <t>JF Overlock Stitch Manufacturing Rate</t>
  </si>
  <si>
    <t>圈缝费率</t>
  </si>
  <si>
    <t>JF Overlock Stitching Cost</t>
  </si>
  <si>
    <t>圈缝制费</t>
  </si>
  <si>
    <t>JF Quilting CT</t>
  </si>
  <si>
    <t>绗缝工时</t>
  </si>
  <si>
    <t>JF Quilting Manufacturing Rate</t>
  </si>
  <si>
    <t>绗缝费率</t>
  </si>
  <si>
    <t>JF Knoting</t>
  </si>
  <si>
    <t>打结工时</t>
  </si>
  <si>
    <t>JF Knoting Manufacturing Rate</t>
  </si>
  <si>
    <t>打结费率</t>
  </si>
  <si>
    <t>JF Quilting Cost</t>
  </si>
  <si>
    <t>绗缝制费</t>
  </si>
  <si>
    <t>JF Join Seam CT</t>
  </si>
  <si>
    <t>拼缝工时</t>
  </si>
  <si>
    <t>JF Join Seam Manufacturing Rate</t>
  </si>
  <si>
    <t>拼缝费率</t>
  </si>
  <si>
    <t>JF Join Seam Cost</t>
  </si>
  <si>
    <t>拼缝制费</t>
  </si>
  <si>
    <t>JF Deck Seam CT</t>
  </si>
  <si>
    <t>装饰线缝纫工时</t>
  </si>
  <si>
    <t>JF Deck Seam Manufacturing Rate</t>
  </si>
  <si>
    <t>装饰线缝纫费率</t>
  </si>
  <si>
    <t>JF Deck Seam Cost</t>
  </si>
  <si>
    <t>装饰线缝纫制费</t>
  </si>
  <si>
    <t>JF Blind Stitch CT</t>
  </si>
  <si>
    <t>盲缝工时</t>
  </si>
  <si>
    <t>JF Blind Stitch Manufacturing Rate</t>
  </si>
  <si>
    <t>盲缝费率</t>
  </si>
  <si>
    <t>JF Blind Stitch Cost</t>
  </si>
  <si>
    <t>盲缝制费</t>
  </si>
  <si>
    <t>JF Airbag Lock Stitch CT</t>
  </si>
  <si>
    <t>气囊缝纫工时</t>
  </si>
  <si>
    <t>JF Airbag Lock Stitch Manufacturing Rate</t>
  </si>
  <si>
    <t>气囊缝纫费率</t>
  </si>
  <si>
    <t>JF Airbag Lock Stitch Cost</t>
  </si>
  <si>
    <t>气囊缝纫制费</t>
  </si>
  <si>
    <t>JF ISO Botton Assembly CT</t>
  </si>
  <si>
    <t>ISO扣子安装工时</t>
  </si>
  <si>
    <t>JF ISO Botton Assembly Manufacturing Rate</t>
  </si>
  <si>
    <t>ISO扣子安装费率</t>
  </si>
  <si>
    <t>JF ISO Botton Assembly Cost</t>
  </si>
  <si>
    <t>ISO扣子安装制费</t>
  </si>
  <si>
    <t>JF Decoration Assembly CT</t>
  </si>
  <si>
    <t>饰条安装工时</t>
  </si>
  <si>
    <t>JF Decoration Assembly Manufacturing Rate</t>
  </si>
  <si>
    <t>饰条安装费率</t>
  </si>
  <si>
    <t>JF Decoration Assembly Cost</t>
  </si>
  <si>
    <t>饰条安装制费</t>
  </si>
  <si>
    <t>JF Hot Print CT</t>
  </si>
  <si>
    <t>烫印工时</t>
  </si>
  <si>
    <t>JF Hot Print Manufacturing Rate</t>
  </si>
  <si>
    <t>烫印费率</t>
  </si>
  <si>
    <t>JF Hot Print Cost</t>
  </si>
  <si>
    <t>烫印制费</t>
  </si>
  <si>
    <t>JF Embossing CT</t>
  </si>
  <si>
    <t>刺绣工时</t>
  </si>
  <si>
    <t>JF Embossing Manufacturing Rate</t>
  </si>
  <si>
    <t>刺绣费率</t>
  </si>
  <si>
    <t>JF Embossing Cost</t>
  </si>
  <si>
    <t>刺绣制费</t>
  </si>
  <si>
    <t>JF Package and Logistic Rate</t>
  </si>
  <si>
    <t>包装运输费比例</t>
  </si>
  <si>
    <t>JF Package and Logistic Cost</t>
  </si>
  <si>
    <t>包装运输费</t>
  </si>
  <si>
    <t>JF SGA Rate</t>
  </si>
  <si>
    <t>利管费比例</t>
  </si>
  <si>
    <t>JF Manufacturing SGA Cost</t>
  </si>
  <si>
    <t>利管费</t>
  </si>
  <si>
    <t>JF Total Manufacturing Cost</t>
  </si>
  <si>
    <t>合计制造费</t>
  </si>
  <si>
    <t>JF Material SGA Cost</t>
  </si>
  <si>
    <t>材料管理费</t>
  </si>
  <si>
    <t>JFRollUpCost</t>
  </si>
  <si>
    <t>计算成本</t>
  </si>
  <si>
    <t>分析项</t>
  </si>
  <si>
    <t>JFActualcCost</t>
  </si>
  <si>
    <t>实际成本</t>
  </si>
  <si>
    <t>A属性</t>
  </si>
  <si>
    <t>B属性</t>
  </si>
  <si>
    <t>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</si>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</sst>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0"/>
      <name val="DengXi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06918546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</cellStyleXfs>
  <cellXfs count="76">
    <xf numFmtId="0" fontId="0" fillId="0" borderId="0" xfId="0"/>
    <xf numFmtId="0" fontId="0" fillId="0" borderId="0" xfId="0" applyFill="1"/>
    <xf numFmtId="0" fontId="0" fillId="0" borderId="0" xfId="51" applyFill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Font="1" applyBorder="1"/>
    <xf numFmtId="0" fontId="0" fillId="0" borderId="1" xfId="5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/>
    </xf>
    <xf numFmtId="0" fontId="0" fillId="0" borderId="2" xfId="0" applyFont="1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1" xfId="50" applyFill="1" applyBorder="1"/>
    <xf numFmtId="0" fontId="0" fillId="0" borderId="1" xfId="0" applyFill="1" applyBorder="1" applyAlignment="1">
      <alignment horizontal="left"/>
    </xf>
    <xf numFmtId="0" fontId="0" fillId="0" borderId="2" xfId="0" applyFill="1" applyBorder="1"/>
    <xf numFmtId="0" fontId="0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0" fillId="0" borderId="3" xfId="50" applyFill="1" applyBorder="1"/>
    <xf numFmtId="0" fontId="0" fillId="0" borderId="4" xfId="50" applyFill="1" applyBorder="1"/>
    <xf numFmtId="0" fontId="0" fillId="0" borderId="0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0" fillId="0" borderId="1" xfId="50" applyFont="1" applyFill="1" applyBorder="1"/>
    <xf numFmtId="0" fontId="0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0" fillId="4" borderId="1" xfId="5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4" fillId="4" borderId="1" xfId="51" applyFont="1" applyFill="1" applyBorder="1" applyAlignment="1"/>
    <xf numFmtId="0" fontId="4" fillId="0" borderId="1" xfId="0" applyFont="1" applyFill="1" applyBorder="1" applyAlignment="1">
      <alignment horizontal="left"/>
    </xf>
    <xf numFmtId="0" fontId="0" fillId="0" borderId="1" xfId="51" applyFill="1" applyBorder="1"/>
    <xf numFmtId="0" fontId="1" fillId="0" borderId="1" xfId="50" applyFont="1" applyFill="1" applyBorder="1" applyAlignment="1">
      <alignment horizontal="left" vertical="center"/>
    </xf>
    <xf numFmtId="0" fontId="1" fillId="0" borderId="1" xfId="51" applyFont="1" applyFill="1" applyBorder="1"/>
    <xf numFmtId="0" fontId="1" fillId="4" borderId="1" xfId="51" applyFont="1" applyFill="1" applyBorder="1"/>
    <xf numFmtId="0" fontId="5" fillId="4" borderId="1" xfId="51" applyFont="1" applyFill="1" applyBorder="1"/>
    <xf numFmtId="0" fontId="6" fillId="0" borderId="1" xfId="50" applyFont="1" applyFill="1" applyBorder="1" applyAlignment="1">
      <alignment horizontal="left" vertical="center"/>
    </xf>
    <xf numFmtId="0" fontId="6" fillId="0" borderId="1" xfId="51" applyFont="1" applyFill="1" applyBorder="1"/>
    <xf numFmtId="0" fontId="0" fillId="0" borderId="1" xfId="50" applyFont="1" applyFill="1" applyBorder="1" applyAlignment="1">
      <alignment horizontal="left" vertical="center"/>
    </xf>
    <xf numFmtId="0" fontId="6" fillId="0" borderId="1" xfId="50" applyFont="1" applyFill="1" applyBorder="1" applyAlignment="1">
      <alignment horizontal="left" vertical="center" wrapText="1"/>
    </xf>
    <xf numFmtId="0" fontId="1" fillId="0" borderId="1" xfId="51" applyFont="1" applyFill="1" applyBorder="1" applyAlignment="1">
      <alignment horizontal="left" vertical="center"/>
    </xf>
    <xf numFmtId="0" fontId="5" fillId="0" borderId="1" xfId="51" applyFont="1" applyFill="1" applyBorder="1"/>
    <xf numFmtId="0" fontId="1" fillId="0" borderId="1" xfId="51" applyFont="1" applyFill="1" applyBorder="1" applyAlignment="1">
      <alignment horizontal="left"/>
    </xf>
    <xf numFmtId="0" fontId="0" fillId="0" borderId="1" xfId="50" applyFont="1" applyFill="1" applyBorder="1" applyAlignment="1">
      <alignment vertical="center"/>
    </xf>
    <xf numFmtId="10" fontId="7" fillId="0" borderId="1" xfId="50" applyNumberFormat="1" applyFont="1" applyFill="1" applyBorder="1" applyAlignment="1">
      <alignment vertical="center" wrapText="1"/>
    </xf>
    <xf numFmtId="0" fontId="0" fillId="0" borderId="1" xfId="51" applyFill="1" applyBorder="1" applyAlignment="1">
      <alignment horizontal="left"/>
    </xf>
    <xf numFmtId="0" fontId="6" fillId="0" borderId="1" xfId="50" applyFont="1" applyFill="1" applyBorder="1" applyAlignment="1">
      <alignment vertical="center" wrapText="1"/>
    </xf>
    <xf numFmtId="10" fontId="6" fillId="0" borderId="1" xfId="50" applyNumberFormat="1" applyFont="1" applyFill="1" applyBorder="1" applyAlignment="1">
      <alignment vertical="center"/>
    </xf>
    <xf numFmtId="0" fontId="1" fillId="0" borderId="1" xfId="50" applyFont="1" applyFill="1" applyBorder="1" applyAlignment="1">
      <alignment vertical="center"/>
    </xf>
    <xf numFmtId="9" fontId="0" fillId="0" borderId="1" xfId="51" applyNumberFormat="1" applyFill="1" applyBorder="1" applyAlignment="1">
      <alignment horizontal="left"/>
    </xf>
    <xf numFmtId="176" fontId="0" fillId="0" borderId="1" xfId="50" applyNumberFormat="1" applyFont="1" applyFill="1" applyBorder="1" applyAlignment="1">
      <alignment horizontal="left" vertical="center"/>
    </xf>
    <xf numFmtId="0" fontId="0" fillId="5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vertical="center"/>
    </xf>
    <xf numFmtId="0" fontId="0" fillId="5" borderId="0" xfId="0" applyFont="1" applyFill="1"/>
    <xf numFmtId="0" fontId="0" fillId="0" borderId="0" xfId="0" applyFo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4EE00"/>
      <color rgb="00FFFF0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7"/>
  <sheetViews>
    <sheetView zoomScale="115" zoomScaleNormal="115" workbookViewId="0">
      <pane ySplit="1" topLeftCell="A2" activePane="bottomLeft" state="frozen"/>
      <selection/>
      <selection pane="bottomLeft" activeCell="B9" sqref="B9"/>
    </sheetView>
  </sheetViews>
  <sheetFormatPr defaultColWidth="9" defaultRowHeight="13.8"/>
  <cols>
    <col min="1" max="1" width="5.22222222222222" customWidth="1"/>
    <col min="2" max="2" width="11.2222222222222" customWidth="1"/>
    <col min="3" max="3" width="38.5555555555556" customWidth="1"/>
    <col min="4" max="4" width="21.3333333333333" customWidth="1"/>
    <col min="5" max="5" width="9.11111111111111" customWidth="1"/>
    <col min="8" max="8" width="23.3333333333333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68">
        <v>1</v>
      </c>
      <c r="B2" s="11" t="s">
        <v>8</v>
      </c>
      <c r="C2" s="11" t="s">
        <v>9</v>
      </c>
      <c r="D2" s="11" t="s">
        <v>10</v>
      </c>
      <c r="E2" s="11" t="s">
        <v>11</v>
      </c>
      <c r="F2" s="11"/>
      <c r="G2" s="11" t="s">
        <v>12</v>
      </c>
      <c r="H2" s="11"/>
    </row>
    <row r="3" spans="1:8">
      <c r="A3" s="68">
        <v>2</v>
      </c>
      <c r="B3" s="11" t="s">
        <v>8</v>
      </c>
      <c r="C3" s="11" t="s">
        <v>13</v>
      </c>
      <c r="D3" s="69" t="s">
        <v>14</v>
      </c>
      <c r="E3" s="11" t="s">
        <v>11</v>
      </c>
      <c r="F3" s="11"/>
      <c r="G3" s="11" t="s">
        <v>12</v>
      </c>
      <c r="H3" s="11"/>
    </row>
    <row r="4" spans="1:8">
      <c r="A4" s="68">
        <v>3</v>
      </c>
      <c r="B4" s="11" t="s">
        <v>8</v>
      </c>
      <c r="C4" s="11" t="s">
        <v>15</v>
      </c>
      <c r="D4" s="69" t="s">
        <v>16</v>
      </c>
      <c r="E4" s="11" t="s">
        <v>11</v>
      </c>
      <c r="F4" s="11"/>
      <c r="G4" s="11" t="s">
        <v>12</v>
      </c>
      <c r="H4" s="11"/>
    </row>
    <row r="5" spans="1:8">
      <c r="A5" s="68">
        <v>4</v>
      </c>
      <c r="B5" s="11" t="s">
        <v>8</v>
      </c>
      <c r="C5" s="11" t="s">
        <v>17</v>
      </c>
      <c r="D5" s="69" t="s">
        <v>18</v>
      </c>
      <c r="E5" s="11" t="s">
        <v>11</v>
      </c>
      <c r="F5" s="11"/>
      <c r="G5" s="11" t="s">
        <v>12</v>
      </c>
      <c r="H5" s="11"/>
    </row>
    <row r="6" spans="1:8">
      <c r="A6" s="68">
        <v>5</v>
      </c>
      <c r="B6" s="11" t="s">
        <v>8</v>
      </c>
      <c r="C6" s="11" t="s">
        <v>19</v>
      </c>
      <c r="D6" s="69" t="s">
        <v>20</v>
      </c>
      <c r="E6" s="11" t="s">
        <v>11</v>
      </c>
      <c r="F6" s="11"/>
      <c r="G6" s="11" t="s">
        <v>12</v>
      </c>
      <c r="H6" s="11"/>
    </row>
    <row r="7" spans="1:8">
      <c r="A7" s="68">
        <v>6</v>
      </c>
      <c r="B7" s="11" t="s">
        <v>8</v>
      </c>
      <c r="C7" s="11" t="s">
        <v>21</v>
      </c>
      <c r="D7" s="69" t="s">
        <v>22</v>
      </c>
      <c r="E7" s="11" t="s">
        <v>11</v>
      </c>
      <c r="F7" s="11"/>
      <c r="G7" s="11" t="s">
        <v>12</v>
      </c>
      <c r="H7" s="11"/>
    </row>
    <row r="8" spans="1:8">
      <c r="A8" s="68">
        <v>7</v>
      </c>
      <c r="B8" s="11" t="s">
        <v>8</v>
      </c>
      <c r="C8" s="11" t="s">
        <v>23</v>
      </c>
      <c r="D8" s="69" t="s">
        <v>24</v>
      </c>
      <c r="E8" s="11" t="s">
        <v>11</v>
      </c>
      <c r="F8" s="11"/>
      <c r="G8" s="11" t="s">
        <v>12</v>
      </c>
      <c r="H8" s="11"/>
    </row>
    <row r="9" spans="1:8">
      <c r="A9" s="70">
        <v>8</v>
      </c>
      <c r="B9" s="19" t="s">
        <v>8</v>
      </c>
      <c r="C9" s="19" t="s">
        <v>25</v>
      </c>
      <c r="D9" s="20" t="s">
        <v>26</v>
      </c>
      <c r="E9" s="19" t="s">
        <v>11</v>
      </c>
      <c r="F9" s="19"/>
      <c r="G9" s="19" t="s">
        <v>12</v>
      </c>
      <c r="H9" s="19"/>
    </row>
    <row r="10" spans="1:8">
      <c r="A10" s="68">
        <v>9</v>
      </c>
      <c r="B10" s="11" t="s">
        <v>8</v>
      </c>
      <c r="C10" s="11" t="s">
        <v>27</v>
      </c>
      <c r="D10" s="69" t="s">
        <v>28</v>
      </c>
      <c r="E10" s="11" t="s">
        <v>11</v>
      </c>
      <c r="F10" s="11"/>
      <c r="G10" s="11" t="s">
        <v>12</v>
      </c>
      <c r="H10" s="11"/>
    </row>
    <row r="11" spans="1:8">
      <c r="A11" s="68">
        <v>10</v>
      </c>
      <c r="B11" s="11" t="s">
        <v>8</v>
      </c>
      <c r="C11" s="11" t="s">
        <v>29</v>
      </c>
      <c r="D11" s="69" t="s">
        <v>30</v>
      </c>
      <c r="E11" s="11" t="s">
        <v>11</v>
      </c>
      <c r="F11" s="11"/>
      <c r="G11" s="11" t="s">
        <v>12</v>
      </c>
      <c r="H11" s="11"/>
    </row>
    <row r="12" spans="1:8">
      <c r="A12" s="68">
        <v>11</v>
      </c>
      <c r="B12" s="11" t="s">
        <v>8</v>
      </c>
      <c r="C12" s="11" t="s">
        <v>31</v>
      </c>
      <c r="D12" s="69" t="s">
        <v>32</v>
      </c>
      <c r="E12" s="11" t="s">
        <v>11</v>
      </c>
      <c r="F12" s="11"/>
      <c r="G12" s="11" t="s">
        <v>12</v>
      </c>
      <c r="H12" s="11"/>
    </row>
    <row r="13" spans="1:8">
      <c r="A13" s="68">
        <v>12</v>
      </c>
      <c r="B13" s="11" t="s">
        <v>8</v>
      </c>
      <c r="C13" s="11" t="s">
        <v>33</v>
      </c>
      <c r="D13" s="69" t="s">
        <v>34</v>
      </c>
      <c r="E13" s="11" t="s">
        <v>11</v>
      </c>
      <c r="F13" s="11"/>
      <c r="G13" s="11" t="s">
        <v>12</v>
      </c>
      <c r="H13" s="11"/>
    </row>
    <row r="14" spans="1:8">
      <c r="A14" s="68">
        <v>13</v>
      </c>
      <c r="B14" s="11" t="s">
        <v>8</v>
      </c>
      <c r="C14" s="11" t="s">
        <v>35</v>
      </c>
      <c r="D14" s="69" t="s">
        <v>36</v>
      </c>
      <c r="E14" s="11" t="s">
        <v>11</v>
      </c>
      <c r="F14" s="11"/>
      <c r="G14" s="11" t="s">
        <v>12</v>
      </c>
      <c r="H14" s="11"/>
    </row>
    <row r="15" spans="1:8">
      <c r="A15" s="68">
        <v>14</v>
      </c>
      <c r="B15" s="11" t="s">
        <v>8</v>
      </c>
      <c r="C15" s="11" t="s">
        <v>37</v>
      </c>
      <c r="D15" s="69" t="s">
        <v>38</v>
      </c>
      <c r="E15" s="11" t="s">
        <v>11</v>
      </c>
      <c r="F15" s="11"/>
      <c r="G15" s="11" t="s">
        <v>12</v>
      </c>
      <c r="H15" s="11"/>
    </row>
    <row r="16" spans="1:8">
      <c r="A16" s="68">
        <v>15</v>
      </c>
      <c r="B16" s="11" t="s">
        <v>8</v>
      </c>
      <c r="C16" s="11" t="s">
        <v>39</v>
      </c>
      <c r="D16" s="69" t="s">
        <v>40</v>
      </c>
      <c r="E16" s="11" t="s">
        <v>11</v>
      </c>
      <c r="F16" s="11"/>
      <c r="G16" s="11" t="s">
        <v>12</v>
      </c>
      <c r="H16" s="11"/>
    </row>
    <row r="17" spans="1:11">
      <c r="A17" s="68">
        <v>16</v>
      </c>
      <c r="B17" s="11" t="s">
        <v>8</v>
      </c>
      <c r="C17" s="11" t="s">
        <v>41</v>
      </c>
      <c r="D17" s="69" t="s">
        <v>42</v>
      </c>
      <c r="E17" s="11" t="s">
        <v>11</v>
      </c>
      <c r="F17" s="11"/>
      <c r="G17" s="11" t="s">
        <v>12</v>
      </c>
      <c r="H17" s="11"/>
    </row>
    <row r="18" spans="1:11">
      <c r="A18" s="68">
        <v>17</v>
      </c>
      <c r="B18" s="11" t="s">
        <v>8</v>
      </c>
      <c r="C18" s="11" t="s">
        <v>43</v>
      </c>
      <c r="D18" s="69" t="s">
        <v>44</v>
      </c>
      <c r="E18" s="11" t="s">
        <v>11</v>
      </c>
      <c r="F18" s="11"/>
      <c r="G18" s="11" t="s">
        <v>12</v>
      </c>
      <c r="H18" s="11"/>
    </row>
    <row r="19" spans="1:11">
      <c r="A19" s="68">
        <v>18</v>
      </c>
      <c r="B19" s="11" t="s">
        <v>8</v>
      </c>
      <c r="C19" s="11" t="s">
        <v>45</v>
      </c>
      <c r="D19" s="69" t="s">
        <v>46</v>
      </c>
      <c r="E19" s="11" t="s">
        <v>11</v>
      </c>
      <c r="F19" s="11"/>
      <c r="G19" s="11" t="s">
        <v>12</v>
      </c>
      <c r="H19" s="11"/>
    </row>
    <row r="20" spans="1:11">
      <c r="A20" s="68">
        <v>19</v>
      </c>
      <c r="B20" s="11" t="s">
        <v>8</v>
      </c>
      <c r="C20" s="11" t="s">
        <v>47</v>
      </c>
      <c r="D20" s="69" t="s">
        <v>48</v>
      </c>
      <c r="E20" s="11" t="s">
        <v>11</v>
      </c>
      <c r="F20" s="11"/>
      <c r="G20" s="11" t="s">
        <v>12</v>
      </c>
      <c r="H20" s="11"/>
    </row>
    <row r="21" spans="1:11">
      <c r="A21" s="68">
        <v>20</v>
      </c>
      <c r="B21" s="11" t="s">
        <v>8</v>
      </c>
      <c r="C21" s="11" t="s">
        <v>49</v>
      </c>
      <c r="D21" s="69" t="s">
        <v>50</v>
      </c>
      <c r="E21" s="11" t="s">
        <v>11</v>
      </c>
      <c r="F21" s="11"/>
      <c r="G21" s="11" t="s">
        <v>12</v>
      </c>
      <c r="H21" s="11"/>
    </row>
    <row r="22" spans="1:11">
      <c r="A22" s="68">
        <v>21</v>
      </c>
      <c r="B22" s="11" t="s">
        <v>8</v>
      </c>
      <c r="C22" s="11" t="s">
        <v>51</v>
      </c>
      <c r="D22" s="69" t="s">
        <v>52</v>
      </c>
      <c r="E22" s="11" t="s">
        <v>11</v>
      </c>
      <c r="F22" s="11"/>
      <c r="G22" s="11" t="s">
        <v>12</v>
      </c>
      <c r="H22" s="11"/>
    </row>
    <row r="23" spans="1:11">
      <c r="A23" s="68">
        <v>22</v>
      </c>
      <c r="B23" s="11" t="s">
        <v>8</v>
      </c>
      <c r="C23" s="11" t="s">
        <v>53</v>
      </c>
      <c r="D23" s="69" t="s">
        <v>54</v>
      </c>
      <c r="E23" s="11" t="s">
        <v>11</v>
      </c>
      <c r="F23" s="11"/>
      <c r="G23" s="11" t="s">
        <v>12</v>
      </c>
      <c r="H23" s="11"/>
    </row>
    <row r="24" spans="1:11">
      <c r="A24" s="68">
        <v>23</v>
      </c>
      <c r="B24" s="11" t="s">
        <v>8</v>
      </c>
      <c r="C24" s="11" t="s">
        <v>55</v>
      </c>
      <c r="D24" s="69" t="s">
        <v>56</v>
      </c>
      <c r="E24" s="11" t="s">
        <v>11</v>
      </c>
      <c r="F24" s="11"/>
      <c r="G24" s="11" t="s">
        <v>12</v>
      </c>
      <c r="H24" s="11"/>
    </row>
    <row r="25" spans="1:11">
      <c r="A25" s="68">
        <v>24</v>
      </c>
      <c r="B25" s="11" t="s">
        <v>8</v>
      </c>
      <c r="C25" s="11" t="s">
        <v>57</v>
      </c>
      <c r="D25" s="69" t="s">
        <v>58</v>
      </c>
      <c r="E25" s="11" t="s">
        <v>11</v>
      </c>
      <c r="F25" s="11"/>
      <c r="G25" s="11" t="s">
        <v>12</v>
      </c>
      <c r="H25" s="11"/>
    </row>
    <row r="26" spans="1:11">
      <c r="A26" s="68">
        <v>25</v>
      </c>
      <c r="B26" s="11" t="s">
        <v>8</v>
      </c>
      <c r="C26" s="11" t="s">
        <v>59</v>
      </c>
      <c r="D26" s="69" t="s">
        <v>60</v>
      </c>
      <c r="E26" s="11" t="s">
        <v>11</v>
      </c>
      <c r="F26" s="11"/>
      <c r="G26" s="11" t="s">
        <v>12</v>
      </c>
      <c r="H26" s="11"/>
    </row>
    <row r="27" spans="1:11">
      <c r="A27" s="68">
        <v>26</v>
      </c>
      <c r="B27" s="11" t="s">
        <v>8</v>
      </c>
      <c r="C27" s="11" t="s">
        <v>61</v>
      </c>
      <c r="D27" s="69" t="s">
        <v>62</v>
      </c>
      <c r="E27" s="11" t="s">
        <v>11</v>
      </c>
      <c r="F27" s="11"/>
      <c r="G27" s="11" t="s">
        <v>12</v>
      </c>
      <c r="H27" s="11"/>
    </row>
    <row r="28" spans="1:11">
      <c r="A28" s="68">
        <v>27</v>
      </c>
      <c r="B28" s="11" t="s">
        <v>8</v>
      </c>
      <c r="C28" s="11" t="s">
        <v>63</v>
      </c>
      <c r="D28" s="69" t="s">
        <v>64</v>
      </c>
      <c r="E28" s="11" t="s">
        <v>11</v>
      </c>
      <c r="F28" s="11"/>
      <c r="G28" s="11" t="s">
        <v>12</v>
      </c>
      <c r="H28" s="11"/>
    </row>
    <row r="29" s="67" customFormat="1" spans="1:11">
      <c r="A29" s="71">
        <v>28</v>
      </c>
      <c r="B29" s="72" t="s">
        <v>8</v>
      </c>
      <c r="C29" s="72" t="s">
        <v>65</v>
      </c>
      <c r="D29" s="73" t="s">
        <v>66</v>
      </c>
      <c r="E29" s="72" t="s">
        <v>67</v>
      </c>
      <c r="F29" s="72"/>
      <c r="G29" s="72" t="s">
        <v>12</v>
      </c>
      <c r="H29" s="72"/>
      <c r="J29" s="74"/>
      <c r="K29" s="74"/>
    </row>
    <row r="30" spans="1:11">
      <c r="A30" s="68">
        <v>29</v>
      </c>
      <c r="B30" s="11" t="s">
        <v>8</v>
      </c>
      <c r="C30" s="11" t="s">
        <v>68</v>
      </c>
      <c r="D30" s="69" t="s">
        <v>69</v>
      </c>
      <c r="E30" s="11" t="s">
        <v>67</v>
      </c>
      <c r="F30" s="11"/>
      <c r="G30" s="11" t="s">
        <v>12</v>
      </c>
      <c r="H30" s="11"/>
      <c r="J30" s="75"/>
      <c r="K30" s="75"/>
    </row>
    <row r="31" spans="1:11">
      <c r="A31" s="68">
        <v>30</v>
      </c>
      <c r="B31" s="11" t="s">
        <v>8</v>
      </c>
      <c r="C31" s="11" t="s">
        <v>70</v>
      </c>
      <c r="D31" s="69" t="s">
        <v>71</v>
      </c>
      <c r="E31" s="11" t="s">
        <v>67</v>
      </c>
      <c r="F31" s="11"/>
      <c r="G31" s="11" t="s">
        <v>12</v>
      </c>
      <c r="H31" s="11"/>
    </row>
    <row r="32" spans="1:11">
      <c r="A32" s="68">
        <v>31</v>
      </c>
      <c r="B32" s="11" t="s">
        <v>8</v>
      </c>
      <c r="C32" s="11" t="s">
        <v>72</v>
      </c>
      <c r="D32" s="69" t="s">
        <v>73</v>
      </c>
      <c r="E32" s="11" t="s">
        <v>67</v>
      </c>
      <c r="F32" s="11"/>
      <c r="G32" s="11" t="s">
        <v>12</v>
      </c>
      <c r="H32" s="11"/>
    </row>
    <row r="33" spans="1:8">
      <c r="A33" s="68">
        <v>32</v>
      </c>
      <c r="B33" s="11" t="s">
        <v>8</v>
      </c>
      <c r="C33" s="11" t="s">
        <v>74</v>
      </c>
      <c r="D33" s="69" t="s">
        <v>75</v>
      </c>
      <c r="E33" s="11" t="s">
        <v>11</v>
      </c>
      <c r="F33" s="11"/>
      <c r="G33" s="11" t="s">
        <v>12</v>
      </c>
      <c r="H33" s="11"/>
    </row>
    <row r="34" spans="1:8">
      <c r="A34" s="68">
        <v>33</v>
      </c>
      <c r="B34" s="11" t="s">
        <v>8</v>
      </c>
      <c r="C34" s="11" t="s">
        <v>76</v>
      </c>
      <c r="D34" s="69" t="s">
        <v>77</v>
      </c>
      <c r="E34" s="11" t="s">
        <v>11</v>
      </c>
      <c r="F34" s="11"/>
      <c r="G34" s="11" t="s">
        <v>12</v>
      </c>
      <c r="H34" s="11"/>
    </row>
    <row r="35" spans="1:8">
      <c r="A35" s="68">
        <v>34</v>
      </c>
      <c r="B35" s="11" t="s">
        <v>8</v>
      </c>
      <c r="C35" s="11" t="s">
        <v>78</v>
      </c>
      <c r="D35" s="69" t="s">
        <v>79</v>
      </c>
      <c r="E35" s="11" t="s">
        <v>11</v>
      </c>
      <c r="F35" s="11"/>
      <c r="G35" s="11" t="s">
        <v>12</v>
      </c>
      <c r="H35" s="11"/>
    </row>
    <row r="36" spans="1:8">
      <c r="A36" s="68">
        <v>35</v>
      </c>
      <c r="B36" s="11" t="s">
        <v>8</v>
      </c>
      <c r="C36" s="11" t="s">
        <v>80</v>
      </c>
      <c r="D36" s="69" t="s">
        <v>81</v>
      </c>
      <c r="E36" s="11" t="s">
        <v>11</v>
      </c>
      <c r="F36" s="11"/>
      <c r="G36" s="11" t="s">
        <v>12</v>
      </c>
      <c r="H36" s="11"/>
    </row>
    <row r="37" spans="1:8">
      <c r="A37" s="68">
        <v>36</v>
      </c>
      <c r="B37" s="11" t="s">
        <v>8</v>
      </c>
      <c r="C37" s="11" t="s">
        <v>82</v>
      </c>
      <c r="D37" s="69" t="s">
        <v>83</v>
      </c>
      <c r="E37" s="11" t="s">
        <v>11</v>
      </c>
      <c r="F37" s="11"/>
      <c r="G37" s="11" t="s">
        <v>12</v>
      </c>
      <c r="H37" s="11"/>
    </row>
    <row r="38" spans="1:8">
      <c r="A38" s="68">
        <v>37</v>
      </c>
      <c r="B38" s="11" t="s">
        <v>8</v>
      </c>
      <c r="C38" s="11" t="s">
        <v>84</v>
      </c>
      <c r="D38" s="69" t="s">
        <v>85</v>
      </c>
      <c r="E38" s="11" t="s">
        <v>11</v>
      </c>
      <c r="F38" s="11"/>
      <c r="G38" s="11" t="s">
        <v>12</v>
      </c>
      <c r="H38" s="11"/>
    </row>
    <row r="39" spans="1:8">
      <c r="A39" s="68">
        <v>38</v>
      </c>
      <c r="B39" s="11" t="s">
        <v>8</v>
      </c>
      <c r="C39" s="11" t="s">
        <v>86</v>
      </c>
      <c r="D39" s="69" t="s">
        <v>87</v>
      </c>
      <c r="E39" s="11" t="s">
        <v>11</v>
      </c>
      <c r="F39" s="11"/>
      <c r="G39" s="11" t="s">
        <v>12</v>
      </c>
      <c r="H39" s="11"/>
    </row>
    <row r="40" spans="1:8">
      <c r="A40" s="68">
        <v>39</v>
      </c>
      <c r="B40" s="11" t="s">
        <v>8</v>
      </c>
      <c r="C40" s="11" t="s">
        <v>88</v>
      </c>
      <c r="D40" s="69" t="s">
        <v>89</v>
      </c>
      <c r="E40" s="11" t="s">
        <v>11</v>
      </c>
      <c r="F40" s="11"/>
      <c r="G40" s="11" t="s">
        <v>12</v>
      </c>
      <c r="H40" s="11"/>
    </row>
    <row r="41" spans="1:8">
      <c r="A41" s="68">
        <v>40</v>
      </c>
      <c r="B41" s="11" t="s">
        <v>8</v>
      </c>
      <c r="C41" s="11" t="s">
        <v>90</v>
      </c>
      <c r="D41" s="69" t="s">
        <v>91</v>
      </c>
      <c r="E41" s="11" t="s">
        <v>11</v>
      </c>
      <c r="F41" s="11"/>
      <c r="G41" s="11" t="s">
        <v>12</v>
      </c>
      <c r="H41" s="11"/>
    </row>
    <row r="42" spans="1:8">
      <c r="A42" s="68">
        <v>41</v>
      </c>
      <c r="B42" s="11" t="s">
        <v>8</v>
      </c>
      <c r="C42" s="11" t="s">
        <v>92</v>
      </c>
      <c r="D42" s="69" t="s">
        <v>93</v>
      </c>
      <c r="E42" s="11" t="s">
        <v>11</v>
      </c>
      <c r="F42" s="11"/>
      <c r="G42" s="11" t="s">
        <v>12</v>
      </c>
      <c r="H42" s="11"/>
    </row>
    <row r="43" spans="1:8">
      <c r="A43" s="68">
        <v>42</v>
      </c>
      <c r="B43" s="11" t="s">
        <v>8</v>
      </c>
      <c r="C43" s="11" t="s">
        <v>94</v>
      </c>
      <c r="D43" s="69" t="s">
        <v>95</v>
      </c>
      <c r="E43" s="11" t="s">
        <v>11</v>
      </c>
      <c r="F43" s="11"/>
      <c r="G43" s="11" t="s">
        <v>12</v>
      </c>
      <c r="H43" s="11"/>
    </row>
    <row r="44" spans="1:8">
      <c r="A44" s="68">
        <v>43</v>
      </c>
      <c r="B44" s="11" t="s">
        <v>8</v>
      </c>
      <c r="C44" s="11" t="s">
        <v>96</v>
      </c>
      <c r="D44" s="69" t="s">
        <v>97</v>
      </c>
      <c r="E44" s="11" t="s">
        <v>67</v>
      </c>
      <c r="F44" s="11"/>
      <c r="G44" s="11" t="s">
        <v>12</v>
      </c>
      <c r="H44" s="11"/>
    </row>
    <row r="45" spans="1:8">
      <c r="A45" s="68">
        <v>44</v>
      </c>
      <c r="B45" s="11" t="s">
        <v>8</v>
      </c>
      <c r="C45" s="11" t="s">
        <v>98</v>
      </c>
      <c r="D45" s="69" t="s">
        <v>99</v>
      </c>
      <c r="E45" s="11" t="s">
        <v>11</v>
      </c>
      <c r="F45" s="11"/>
      <c r="G45" s="11" t="s">
        <v>12</v>
      </c>
      <c r="H45" s="11"/>
    </row>
    <row r="46" spans="1:8">
      <c r="A46" s="68">
        <v>45</v>
      </c>
      <c r="B46" s="11" t="s">
        <v>8</v>
      </c>
      <c r="C46" s="11" t="s">
        <v>100</v>
      </c>
      <c r="D46" s="69" t="s">
        <v>101</v>
      </c>
      <c r="E46" s="11" t="s">
        <v>67</v>
      </c>
      <c r="F46" s="11"/>
      <c r="G46" s="11" t="s">
        <v>12</v>
      </c>
      <c r="H46" s="11"/>
    </row>
    <row r="47" spans="1:8">
      <c r="A47" s="71">
        <v>46</v>
      </c>
      <c r="B47" s="72" t="s">
        <v>8</v>
      </c>
      <c r="C47" s="72" t="s">
        <v>102</v>
      </c>
      <c r="D47" s="73" t="s">
        <v>103</v>
      </c>
      <c r="E47" s="72" t="s">
        <v>67</v>
      </c>
      <c r="F47" s="72"/>
      <c r="G47" s="72" t="s">
        <v>12</v>
      </c>
      <c r="H47" s="72"/>
    </row>
    <row r="48" spans="1:8">
      <c r="A48" s="68">
        <v>47</v>
      </c>
      <c r="B48" s="11" t="s">
        <v>8</v>
      </c>
      <c r="C48" s="11" t="s">
        <v>104</v>
      </c>
      <c r="D48" s="69" t="s">
        <v>105</v>
      </c>
      <c r="E48" s="11" t="s">
        <v>67</v>
      </c>
      <c r="F48" s="11"/>
      <c r="G48" s="11" t="s">
        <v>12</v>
      </c>
      <c r="H48" s="11"/>
    </row>
    <row r="49" s="67" customFormat="1" spans="1:8">
      <c r="A49" s="71">
        <v>48</v>
      </c>
      <c r="B49" s="72" t="s">
        <v>8</v>
      </c>
      <c r="C49" s="72" t="s">
        <v>106</v>
      </c>
      <c r="D49" s="73" t="s">
        <v>107</v>
      </c>
      <c r="E49" s="72" t="s">
        <v>67</v>
      </c>
      <c r="F49" s="72"/>
      <c r="G49" s="72" t="s">
        <v>12</v>
      </c>
      <c r="H49" s="72"/>
    </row>
    <row r="50" spans="1:8">
      <c r="A50" s="68">
        <v>49</v>
      </c>
      <c r="B50" s="11" t="s">
        <v>8</v>
      </c>
      <c r="C50" s="11" t="s">
        <v>108</v>
      </c>
      <c r="D50" s="69" t="s">
        <v>109</v>
      </c>
      <c r="E50" s="11" t="s">
        <v>67</v>
      </c>
      <c r="F50" s="11"/>
      <c r="G50" s="11" t="s">
        <v>12</v>
      </c>
      <c r="H50" s="11"/>
    </row>
    <row r="51" spans="1:8">
      <c r="A51" s="68">
        <v>50</v>
      </c>
      <c r="B51" s="11" t="s">
        <v>8</v>
      </c>
      <c r="C51" s="11" t="s">
        <v>110</v>
      </c>
      <c r="D51" s="69" t="s">
        <v>111</v>
      </c>
      <c r="E51" s="11" t="s">
        <v>11</v>
      </c>
      <c r="F51" s="11"/>
      <c r="G51" s="11" t="s">
        <v>12</v>
      </c>
      <c r="H51" s="11"/>
    </row>
    <row r="52" spans="1:8">
      <c r="A52" s="68">
        <v>51</v>
      </c>
      <c r="B52" s="11" t="s">
        <v>8</v>
      </c>
      <c r="C52" s="11" t="s">
        <v>112</v>
      </c>
      <c r="D52" s="69" t="s">
        <v>113</v>
      </c>
      <c r="E52" s="11" t="s">
        <v>11</v>
      </c>
      <c r="F52" s="11"/>
      <c r="G52" s="11" t="s">
        <v>12</v>
      </c>
      <c r="H52" s="11"/>
    </row>
    <row r="53" spans="1:8">
      <c r="A53" s="68">
        <v>52</v>
      </c>
      <c r="B53" s="11" t="s">
        <v>8</v>
      </c>
      <c r="C53" s="11" t="s">
        <v>114</v>
      </c>
      <c r="D53" s="69" t="s">
        <v>115</v>
      </c>
      <c r="E53" s="11" t="s">
        <v>67</v>
      </c>
      <c r="F53" s="11"/>
      <c r="G53" s="11" t="s">
        <v>12</v>
      </c>
      <c r="H53" s="11"/>
    </row>
    <row r="54" spans="1:8">
      <c r="A54" s="68">
        <v>53</v>
      </c>
      <c r="B54" s="11" t="s">
        <v>8</v>
      </c>
      <c r="C54" s="11" t="s">
        <v>116</v>
      </c>
      <c r="D54" s="69" t="s">
        <v>117</v>
      </c>
      <c r="E54" s="11" t="s">
        <v>118</v>
      </c>
      <c r="F54" s="11"/>
      <c r="G54" s="11" t="s">
        <v>12</v>
      </c>
      <c r="H54" s="11"/>
    </row>
    <row r="55" spans="1:8">
      <c r="A55" s="68">
        <v>54</v>
      </c>
      <c r="B55" s="11" t="s">
        <v>8</v>
      </c>
      <c r="C55" s="11" t="s">
        <v>119</v>
      </c>
      <c r="D55" s="69" t="s">
        <v>120</v>
      </c>
      <c r="E55" s="11" t="s">
        <v>118</v>
      </c>
      <c r="F55" s="11"/>
      <c r="G55" s="11" t="s">
        <v>12</v>
      </c>
      <c r="H55" s="11"/>
    </row>
    <row r="56" spans="1:8">
      <c r="A56" s="68">
        <v>55</v>
      </c>
      <c r="B56" s="11" t="s">
        <v>8</v>
      </c>
      <c r="C56" s="11" t="s">
        <v>121</v>
      </c>
      <c r="D56" s="69" t="s">
        <v>122</v>
      </c>
      <c r="E56" s="11" t="s">
        <v>118</v>
      </c>
      <c r="F56" s="11"/>
      <c r="G56" s="11" t="s">
        <v>12</v>
      </c>
      <c r="H56" s="11"/>
    </row>
    <row r="57" spans="1:8">
      <c r="A57" s="68">
        <v>56</v>
      </c>
      <c r="B57" s="11" t="s">
        <v>8</v>
      </c>
      <c r="C57" s="11" t="s">
        <v>123</v>
      </c>
      <c r="D57" s="69" t="s">
        <v>124</v>
      </c>
      <c r="E57" s="11" t="s">
        <v>118</v>
      </c>
      <c r="F57" s="11"/>
      <c r="G57" s="11" t="s">
        <v>12</v>
      </c>
      <c r="H57" s="11"/>
    </row>
    <row r="58" spans="1:8">
      <c r="A58" s="68">
        <v>57</v>
      </c>
      <c r="B58" s="11" t="s">
        <v>8</v>
      </c>
      <c r="C58" s="11" t="s">
        <v>125</v>
      </c>
      <c r="D58" s="69" t="s">
        <v>126</v>
      </c>
      <c r="E58" s="11" t="s">
        <v>118</v>
      </c>
      <c r="F58" s="11"/>
      <c r="G58" s="11" t="s">
        <v>12</v>
      </c>
      <c r="H58" s="11"/>
    </row>
    <row r="59" spans="1:8">
      <c r="A59" s="68">
        <v>58</v>
      </c>
      <c r="B59" s="11" t="s">
        <v>8</v>
      </c>
      <c r="C59" s="11" t="s">
        <v>127</v>
      </c>
      <c r="D59" s="69" t="s">
        <v>128</v>
      </c>
      <c r="E59" s="11" t="s">
        <v>11</v>
      </c>
      <c r="F59" s="11"/>
      <c r="G59" s="11" t="s">
        <v>12</v>
      </c>
      <c r="H59" s="11"/>
    </row>
    <row r="60" spans="1:8">
      <c r="A60" s="68">
        <v>59</v>
      </c>
      <c r="B60" s="11" t="s">
        <v>8</v>
      </c>
      <c r="C60" s="11" t="s">
        <v>129</v>
      </c>
      <c r="D60" s="69" t="s">
        <v>130</v>
      </c>
      <c r="E60" s="11" t="s">
        <v>67</v>
      </c>
      <c r="F60" s="11"/>
      <c r="G60" s="11" t="s">
        <v>12</v>
      </c>
      <c r="H60" s="11"/>
    </row>
    <row r="61" spans="1:8">
      <c r="A61" s="68">
        <v>60</v>
      </c>
      <c r="B61" s="11" t="s">
        <v>8</v>
      </c>
      <c r="C61" s="12" t="s">
        <v>131</v>
      </c>
      <c r="D61" s="69" t="s">
        <v>132</v>
      </c>
      <c r="E61" s="11" t="s">
        <v>11</v>
      </c>
      <c r="F61" s="11"/>
      <c r="G61" s="11" t="s">
        <v>12</v>
      </c>
      <c r="H61" s="11"/>
    </row>
    <row r="62" spans="1:8">
      <c r="A62" s="68">
        <v>61</v>
      </c>
      <c r="B62" s="11" t="s">
        <v>8</v>
      </c>
      <c r="C62" s="11" t="s">
        <v>133</v>
      </c>
      <c r="D62" s="69" t="s">
        <v>134</v>
      </c>
      <c r="E62" s="11" t="s">
        <v>67</v>
      </c>
      <c r="F62" s="11"/>
      <c r="G62" s="11" t="s">
        <v>12</v>
      </c>
      <c r="H62" s="11"/>
    </row>
    <row r="63" spans="1:8">
      <c r="A63" s="68">
        <v>62</v>
      </c>
      <c r="B63" s="11" t="s">
        <v>8</v>
      </c>
      <c r="C63" s="11" t="s">
        <v>135</v>
      </c>
      <c r="D63" s="69" t="s">
        <v>136</v>
      </c>
      <c r="E63" s="11" t="s">
        <v>11</v>
      </c>
      <c r="F63" s="11"/>
      <c r="G63" s="11" t="s">
        <v>12</v>
      </c>
      <c r="H63" s="11"/>
    </row>
    <row r="64" spans="1:8">
      <c r="A64" s="68">
        <v>63</v>
      </c>
      <c r="B64" s="11" t="s">
        <v>8</v>
      </c>
      <c r="C64" s="11" t="s">
        <v>137</v>
      </c>
      <c r="D64" s="69" t="s">
        <v>138</v>
      </c>
      <c r="E64" s="11" t="s">
        <v>11</v>
      </c>
      <c r="F64" s="11"/>
      <c r="G64" s="11" t="s">
        <v>12</v>
      </c>
      <c r="H64" s="11"/>
    </row>
    <row r="65" spans="1:8">
      <c r="A65" s="68">
        <v>64</v>
      </c>
      <c r="B65" s="11" t="s">
        <v>8</v>
      </c>
      <c r="C65" s="11" t="s">
        <v>139</v>
      </c>
      <c r="D65" s="69" t="s">
        <v>140</v>
      </c>
      <c r="E65" s="11" t="s">
        <v>118</v>
      </c>
      <c r="F65" s="11"/>
      <c r="G65" s="11" t="s">
        <v>12</v>
      </c>
      <c r="H65" s="11"/>
    </row>
    <row r="66" spans="1:8">
      <c r="A66" s="68">
        <v>65</v>
      </c>
      <c r="B66" s="11" t="s">
        <v>8</v>
      </c>
      <c r="C66" s="11" t="s">
        <v>141</v>
      </c>
      <c r="D66" s="69" t="s">
        <v>142</v>
      </c>
      <c r="E66" s="11" t="s">
        <v>67</v>
      </c>
      <c r="F66" s="11"/>
      <c r="G66" s="11" t="s">
        <v>12</v>
      </c>
      <c r="H66" s="11"/>
    </row>
    <row r="67" spans="1:8">
      <c r="A67" s="68">
        <v>66</v>
      </c>
      <c r="B67" s="11" t="s">
        <v>8</v>
      </c>
      <c r="C67" s="11" t="s">
        <v>143</v>
      </c>
      <c r="D67" s="69" t="s">
        <v>144</v>
      </c>
      <c r="E67" s="11" t="s">
        <v>11</v>
      </c>
      <c r="F67" s="11"/>
      <c r="G67" s="11" t="s">
        <v>12</v>
      </c>
      <c r="H67" s="11"/>
    </row>
    <row r="68" spans="1:8">
      <c r="A68" s="68">
        <v>67</v>
      </c>
      <c r="B68" s="11" t="s">
        <v>8</v>
      </c>
      <c r="C68" s="11" t="s">
        <v>145</v>
      </c>
      <c r="D68" s="69" t="s">
        <v>146</v>
      </c>
      <c r="E68" s="11" t="s">
        <v>67</v>
      </c>
      <c r="F68" s="11"/>
      <c r="G68" s="11" t="s">
        <v>12</v>
      </c>
      <c r="H68" s="11"/>
    </row>
    <row r="69" spans="1:8">
      <c r="A69" s="68">
        <v>68</v>
      </c>
      <c r="B69" s="11" t="s">
        <v>8</v>
      </c>
      <c r="C69" s="11" t="s">
        <v>147</v>
      </c>
      <c r="D69" s="69" t="s">
        <v>148</v>
      </c>
      <c r="E69" s="11" t="s">
        <v>11</v>
      </c>
      <c r="F69" s="11"/>
      <c r="G69" s="11" t="s">
        <v>12</v>
      </c>
      <c r="H69" s="11"/>
    </row>
    <row r="70" s="67" customFormat="1" spans="1:8">
      <c r="A70" s="71">
        <v>69</v>
      </c>
      <c r="B70" s="72" t="s">
        <v>8</v>
      </c>
      <c r="C70" s="72" t="s">
        <v>149</v>
      </c>
      <c r="D70" s="73" t="s">
        <v>150</v>
      </c>
      <c r="E70" s="72" t="s">
        <v>118</v>
      </c>
      <c r="F70" s="72"/>
      <c r="G70" s="72" t="s">
        <v>12</v>
      </c>
      <c r="H70" s="72"/>
    </row>
    <row r="71" spans="1:8">
      <c r="A71" s="68">
        <v>70</v>
      </c>
      <c r="B71" s="11" t="s">
        <v>8</v>
      </c>
      <c r="C71" s="11" t="s">
        <v>151</v>
      </c>
      <c r="D71" s="69" t="s">
        <v>152</v>
      </c>
      <c r="E71" s="11" t="s">
        <v>11</v>
      </c>
      <c r="F71" s="11"/>
      <c r="G71" s="11" t="s">
        <v>12</v>
      </c>
      <c r="H71" s="11"/>
    </row>
    <row r="72" spans="1:8">
      <c r="A72" s="68">
        <v>71</v>
      </c>
      <c r="B72" s="11" t="s">
        <v>8</v>
      </c>
      <c r="C72" s="11" t="s">
        <v>153</v>
      </c>
      <c r="D72" s="69" t="s">
        <v>154</v>
      </c>
      <c r="E72" s="11" t="s">
        <v>11</v>
      </c>
      <c r="F72" s="11"/>
      <c r="G72" s="11" t="s">
        <v>12</v>
      </c>
      <c r="H72" s="11"/>
    </row>
    <row r="73" spans="1:8">
      <c r="A73" s="68">
        <v>72</v>
      </c>
      <c r="B73" s="11" t="s">
        <v>8</v>
      </c>
      <c r="C73" s="11" t="s">
        <v>155</v>
      </c>
      <c r="D73" s="69" t="s">
        <v>156</v>
      </c>
      <c r="E73" s="11" t="s">
        <v>11</v>
      </c>
      <c r="F73" s="11"/>
      <c r="G73" s="11" t="s">
        <v>12</v>
      </c>
      <c r="H73" s="11"/>
    </row>
    <row r="74" spans="1:8">
      <c r="A74" s="68">
        <v>73</v>
      </c>
      <c r="B74" s="11" t="s">
        <v>8</v>
      </c>
      <c r="C74" s="11" t="s">
        <v>157</v>
      </c>
      <c r="D74" s="69" t="s">
        <v>158</v>
      </c>
      <c r="E74" s="11" t="s">
        <v>11</v>
      </c>
      <c r="F74" s="11"/>
      <c r="G74" s="11" t="s">
        <v>12</v>
      </c>
      <c r="H74" s="11"/>
    </row>
    <row r="75" spans="1:8">
      <c r="A75" s="68">
        <v>74</v>
      </c>
      <c r="B75" s="11" t="s">
        <v>8</v>
      </c>
      <c r="C75" s="11" t="s">
        <v>159</v>
      </c>
      <c r="D75" s="69" t="s">
        <v>160</v>
      </c>
      <c r="E75" s="11" t="s">
        <v>11</v>
      </c>
      <c r="F75" s="11"/>
      <c r="G75" s="11" t="s">
        <v>12</v>
      </c>
      <c r="H75" s="11"/>
    </row>
    <row r="76" spans="1:8">
      <c r="A76" s="68">
        <v>75</v>
      </c>
      <c r="B76" s="11" t="s">
        <v>8</v>
      </c>
      <c r="C76" s="11" t="s">
        <v>161</v>
      </c>
      <c r="D76" s="69" t="s">
        <v>162</v>
      </c>
      <c r="E76" s="11" t="s">
        <v>11</v>
      </c>
      <c r="F76" s="11"/>
      <c r="G76" s="11" t="s">
        <v>12</v>
      </c>
      <c r="H76" s="11"/>
    </row>
    <row r="77" spans="1:8">
      <c r="A77" s="68">
        <v>76</v>
      </c>
      <c r="B77" s="11" t="s">
        <v>8</v>
      </c>
      <c r="C77" s="11" t="s">
        <v>163</v>
      </c>
      <c r="D77" s="69" t="s">
        <v>164</v>
      </c>
      <c r="E77" s="11" t="s">
        <v>11</v>
      </c>
      <c r="F77" s="11"/>
      <c r="G77" s="11" t="s">
        <v>12</v>
      </c>
      <c r="H77" s="11"/>
    </row>
    <row r="78" spans="1:8">
      <c r="A78" s="68">
        <v>77</v>
      </c>
      <c r="B78" s="11" t="s">
        <v>8</v>
      </c>
      <c r="C78" s="11" t="s">
        <v>165</v>
      </c>
      <c r="D78" s="69" t="s">
        <v>166</v>
      </c>
      <c r="E78" s="11" t="s">
        <v>11</v>
      </c>
      <c r="F78" s="11"/>
      <c r="G78" s="11" t="s">
        <v>12</v>
      </c>
      <c r="H78" s="11"/>
    </row>
    <row r="79" spans="1:8">
      <c r="A79" s="68">
        <v>78</v>
      </c>
      <c r="B79" s="11" t="s">
        <v>8</v>
      </c>
      <c r="C79" s="11" t="s">
        <v>167</v>
      </c>
      <c r="D79" s="69" t="s">
        <v>168</v>
      </c>
      <c r="E79" s="11" t="s">
        <v>67</v>
      </c>
      <c r="F79" s="11"/>
      <c r="G79" s="11" t="s">
        <v>12</v>
      </c>
      <c r="H79" s="11"/>
    </row>
    <row r="80" spans="1:8">
      <c r="A80" s="68">
        <v>79</v>
      </c>
      <c r="B80" s="11" t="s">
        <v>8</v>
      </c>
      <c r="C80" s="11" t="s">
        <v>169</v>
      </c>
      <c r="D80" s="69" t="s">
        <v>170</v>
      </c>
      <c r="E80" s="11" t="s">
        <v>11</v>
      </c>
      <c r="F80" s="11"/>
      <c r="G80" s="11" t="s">
        <v>12</v>
      </c>
      <c r="H80" s="11"/>
    </row>
    <row r="81" spans="1:8">
      <c r="A81" s="68">
        <v>80</v>
      </c>
      <c r="B81" s="11" t="s">
        <v>8</v>
      </c>
      <c r="C81" s="11" t="s">
        <v>171</v>
      </c>
      <c r="D81" s="69" t="s">
        <v>172</v>
      </c>
      <c r="E81" s="11" t="s">
        <v>11</v>
      </c>
      <c r="F81" s="11"/>
      <c r="G81" s="11" t="s">
        <v>12</v>
      </c>
      <c r="H81" s="11"/>
    </row>
    <row r="82" spans="1:8">
      <c r="A82" s="68">
        <v>81</v>
      </c>
      <c r="B82" s="11" t="s">
        <v>8</v>
      </c>
      <c r="C82" s="11" t="s">
        <v>173</v>
      </c>
      <c r="D82" s="69" t="s">
        <v>174</v>
      </c>
      <c r="E82" s="11" t="s">
        <v>11</v>
      </c>
      <c r="F82" s="11"/>
      <c r="G82" s="11" t="s">
        <v>12</v>
      </c>
      <c r="H82" s="11"/>
    </row>
    <row r="83" spans="1:8">
      <c r="A83" s="68">
        <v>82</v>
      </c>
      <c r="B83" s="11" t="s">
        <v>8</v>
      </c>
      <c r="C83" s="11" t="s">
        <v>175</v>
      </c>
      <c r="D83" s="69" t="s">
        <v>176</v>
      </c>
      <c r="E83" s="11" t="s">
        <v>11</v>
      </c>
      <c r="F83" s="11"/>
      <c r="G83" s="11" t="s">
        <v>12</v>
      </c>
      <c r="H83" s="11"/>
    </row>
    <row r="84" spans="1:8">
      <c r="A84" s="68">
        <v>83</v>
      </c>
      <c r="B84" s="11" t="s">
        <v>8</v>
      </c>
      <c r="C84" s="11" t="s">
        <v>177</v>
      </c>
      <c r="D84" s="69" t="s">
        <v>178</v>
      </c>
      <c r="E84" s="11" t="s">
        <v>11</v>
      </c>
      <c r="F84" s="11"/>
      <c r="G84" s="11" t="s">
        <v>12</v>
      </c>
      <c r="H84" s="11"/>
    </row>
    <row r="85" spans="1:8">
      <c r="A85" s="68">
        <v>84</v>
      </c>
      <c r="B85" s="11" t="s">
        <v>8</v>
      </c>
      <c r="C85" s="11" t="s">
        <v>179</v>
      </c>
      <c r="D85" s="69" t="s">
        <v>180</v>
      </c>
      <c r="E85" s="11" t="s">
        <v>11</v>
      </c>
      <c r="F85" s="11"/>
      <c r="G85" s="11" t="s">
        <v>12</v>
      </c>
      <c r="H85" s="11"/>
    </row>
    <row r="86" spans="1:8">
      <c r="A86" s="68">
        <v>85</v>
      </c>
      <c r="B86" s="11" t="s">
        <v>8</v>
      </c>
      <c r="C86" s="11" t="s">
        <v>181</v>
      </c>
      <c r="D86" s="69" t="s">
        <v>182</v>
      </c>
      <c r="E86" s="11" t="s">
        <v>67</v>
      </c>
      <c r="F86" s="11"/>
      <c r="G86" s="11" t="s">
        <v>12</v>
      </c>
      <c r="H86" s="11"/>
    </row>
    <row r="87" spans="1:8">
      <c r="A87" s="68">
        <v>86</v>
      </c>
      <c r="B87" s="11" t="s">
        <v>8</v>
      </c>
      <c r="C87" s="11" t="s">
        <v>183</v>
      </c>
      <c r="D87" s="69" t="s">
        <v>184</v>
      </c>
      <c r="E87" s="11" t="s">
        <v>11</v>
      </c>
      <c r="F87" s="11"/>
      <c r="G87" s="11" t="s">
        <v>12</v>
      </c>
      <c r="H87" s="11"/>
    </row>
    <row r="88" spans="1:8">
      <c r="A88" s="68">
        <v>87</v>
      </c>
      <c r="B88" s="11" t="s">
        <v>8</v>
      </c>
      <c r="C88" s="11" t="s">
        <v>185</v>
      </c>
      <c r="D88" s="69" t="s">
        <v>186</v>
      </c>
      <c r="E88" s="11" t="s">
        <v>11</v>
      </c>
      <c r="F88" s="11"/>
      <c r="G88" s="11" t="s">
        <v>12</v>
      </c>
      <c r="H88" s="11"/>
    </row>
    <row r="89" spans="1:8">
      <c r="A89" s="68">
        <v>88</v>
      </c>
      <c r="B89" s="11" t="s">
        <v>8</v>
      </c>
      <c r="C89" s="11" t="s">
        <v>187</v>
      </c>
      <c r="D89" s="69" t="s">
        <v>188</v>
      </c>
      <c r="E89" s="11" t="s">
        <v>11</v>
      </c>
      <c r="F89" s="11"/>
      <c r="G89" s="11" t="s">
        <v>12</v>
      </c>
      <c r="H89" s="11"/>
    </row>
    <row r="90" spans="1:8">
      <c r="A90" s="68">
        <v>89</v>
      </c>
      <c r="B90" s="11" t="s">
        <v>8</v>
      </c>
      <c r="C90" s="11" t="s">
        <v>189</v>
      </c>
      <c r="D90" s="69" t="s">
        <v>190</v>
      </c>
      <c r="E90" s="11" t="s">
        <v>11</v>
      </c>
      <c r="F90" s="11"/>
      <c r="G90" s="11" t="s">
        <v>12</v>
      </c>
      <c r="H90" s="11"/>
    </row>
    <row r="91" spans="1:8">
      <c r="A91" s="68">
        <v>90</v>
      </c>
      <c r="B91" s="11" t="s">
        <v>8</v>
      </c>
      <c r="C91" s="11" t="s">
        <v>191</v>
      </c>
      <c r="D91" s="69" t="s">
        <v>192</v>
      </c>
      <c r="E91" s="11" t="s">
        <v>11</v>
      </c>
      <c r="F91" s="11"/>
      <c r="G91" s="11" t="s">
        <v>12</v>
      </c>
      <c r="H91" s="11"/>
    </row>
    <row r="92" spans="1:8">
      <c r="A92" s="68">
        <v>91</v>
      </c>
      <c r="B92" s="11" t="s">
        <v>8</v>
      </c>
      <c r="C92" s="11" t="s">
        <v>193</v>
      </c>
      <c r="D92" s="69" t="s">
        <v>194</v>
      </c>
      <c r="E92" s="11" t="s">
        <v>11</v>
      </c>
      <c r="F92" s="11"/>
      <c r="G92" s="11" t="s">
        <v>12</v>
      </c>
      <c r="H92" s="11"/>
    </row>
    <row r="93" spans="1:8">
      <c r="A93" s="68">
        <v>92</v>
      </c>
      <c r="B93" s="11" t="s">
        <v>8</v>
      </c>
      <c r="C93" s="11" t="s">
        <v>195</v>
      </c>
      <c r="D93" s="11" t="s">
        <v>196</v>
      </c>
      <c r="E93" s="11" t="s">
        <v>11</v>
      </c>
      <c r="F93" s="11"/>
      <c r="G93" s="11" t="s">
        <v>12</v>
      </c>
      <c r="H93" s="11"/>
    </row>
    <row r="94" spans="1:8">
      <c r="A94" s="68">
        <v>93</v>
      </c>
      <c r="B94" s="11" t="s">
        <v>8</v>
      </c>
      <c r="C94" s="11" t="s">
        <v>197</v>
      </c>
      <c r="D94" s="11" t="s">
        <v>198</v>
      </c>
      <c r="E94" s="11" t="s">
        <v>11</v>
      </c>
      <c r="F94" s="11"/>
      <c r="G94" s="11" t="s">
        <v>12</v>
      </c>
      <c r="H94" s="11"/>
    </row>
    <row r="95" spans="1:8">
      <c r="A95" s="68">
        <v>94</v>
      </c>
      <c r="B95" s="11" t="s">
        <v>8</v>
      </c>
      <c r="C95" s="11" t="s">
        <v>199</v>
      </c>
      <c r="D95" s="11" t="s">
        <v>200</v>
      </c>
      <c r="E95" s="11" t="s">
        <v>11</v>
      </c>
      <c r="F95" s="11"/>
      <c r="G95" s="11" t="s">
        <v>12</v>
      </c>
      <c r="H95" s="11"/>
    </row>
    <row r="96" spans="1:8">
      <c r="A96" s="68">
        <v>95</v>
      </c>
      <c r="B96" s="11" t="s">
        <v>8</v>
      </c>
      <c r="C96" s="11" t="s">
        <v>201</v>
      </c>
      <c r="D96" s="11" t="s">
        <v>202</v>
      </c>
      <c r="E96" s="11" t="s">
        <v>11</v>
      </c>
      <c r="F96" s="11"/>
      <c r="G96" s="11" t="s">
        <v>12</v>
      </c>
      <c r="H96" s="11"/>
    </row>
    <row r="97" spans="1:8">
      <c r="A97" s="68">
        <v>96</v>
      </c>
      <c r="B97" s="11" t="s">
        <v>8</v>
      </c>
      <c r="C97" s="11" t="s">
        <v>203</v>
      </c>
      <c r="D97" s="11" t="s">
        <v>204</v>
      </c>
      <c r="E97" s="11" t="s">
        <v>11</v>
      </c>
      <c r="F97" s="11"/>
      <c r="G97" s="11" t="s">
        <v>12</v>
      </c>
      <c r="H97" s="11"/>
    </row>
    <row r="98" spans="1:8">
      <c r="A98" s="68">
        <v>97</v>
      </c>
      <c r="B98" s="11" t="s">
        <v>8</v>
      </c>
      <c r="C98" s="11" t="s">
        <v>205</v>
      </c>
      <c r="D98" s="11" t="s">
        <v>206</v>
      </c>
      <c r="E98" s="11" t="s">
        <v>11</v>
      </c>
      <c r="F98" s="11"/>
      <c r="G98" s="11" t="s">
        <v>12</v>
      </c>
      <c r="H98" s="11"/>
    </row>
    <row r="99" spans="1:8">
      <c r="A99" s="68">
        <v>98</v>
      </c>
      <c r="B99" s="11" t="s">
        <v>8</v>
      </c>
      <c r="C99" s="11" t="s">
        <v>207</v>
      </c>
      <c r="D99" s="11" t="s">
        <v>208</v>
      </c>
      <c r="E99" s="11" t="s">
        <v>11</v>
      </c>
      <c r="F99" s="11"/>
      <c r="G99" s="11" t="s">
        <v>12</v>
      </c>
      <c r="H99" s="11"/>
    </row>
    <row r="100" spans="1:8">
      <c r="A100" s="68">
        <v>99</v>
      </c>
      <c r="B100" s="11" t="s">
        <v>8</v>
      </c>
      <c r="C100" s="11" t="s">
        <v>209</v>
      </c>
      <c r="D100" s="11" t="s">
        <v>210</v>
      </c>
      <c r="E100" s="11" t="s">
        <v>11</v>
      </c>
      <c r="F100" s="11"/>
      <c r="G100" s="11" t="s">
        <v>12</v>
      </c>
      <c r="H100" s="11"/>
    </row>
    <row r="101" spans="1:8">
      <c r="A101" s="68">
        <v>100</v>
      </c>
      <c r="B101" s="11" t="s">
        <v>8</v>
      </c>
      <c r="C101" s="11" t="s">
        <v>211</v>
      </c>
      <c r="D101" s="11" t="s">
        <v>212</v>
      </c>
      <c r="E101" s="11" t="s">
        <v>11</v>
      </c>
      <c r="F101" s="11"/>
      <c r="G101" s="11" t="s">
        <v>12</v>
      </c>
      <c r="H101" s="11"/>
    </row>
    <row r="102" spans="1:8">
      <c r="A102" s="68">
        <v>101</v>
      </c>
      <c r="B102" s="11" t="s">
        <v>8</v>
      </c>
      <c r="C102" s="11" t="s">
        <v>213</v>
      </c>
      <c r="D102" s="11" t="s">
        <v>214</v>
      </c>
      <c r="E102" s="11" t="s">
        <v>11</v>
      </c>
      <c r="F102" s="11"/>
      <c r="G102" s="11" t="s">
        <v>12</v>
      </c>
      <c r="H102" s="11"/>
    </row>
    <row r="103" spans="1:8">
      <c r="A103" s="68">
        <v>102</v>
      </c>
      <c r="B103" s="11" t="s">
        <v>8</v>
      </c>
      <c r="C103" s="11" t="s">
        <v>215</v>
      </c>
      <c r="D103" s="11" t="s">
        <v>216</v>
      </c>
      <c r="E103" s="11" t="s">
        <v>11</v>
      </c>
      <c r="F103" s="11"/>
      <c r="G103" s="11" t="s">
        <v>12</v>
      </c>
      <c r="H103" s="11"/>
    </row>
    <row r="104" spans="1:8">
      <c r="A104" s="68">
        <v>103</v>
      </c>
      <c r="B104" s="11" t="s">
        <v>8</v>
      </c>
      <c r="C104" s="11" t="s">
        <v>217</v>
      </c>
      <c r="D104" s="11" t="s">
        <v>218</v>
      </c>
      <c r="E104" s="11" t="s">
        <v>11</v>
      </c>
      <c r="F104" s="11"/>
      <c r="G104" s="11" t="s">
        <v>12</v>
      </c>
      <c r="H104" s="11"/>
    </row>
    <row r="105" spans="1:8">
      <c r="A105" s="68">
        <v>104</v>
      </c>
      <c r="B105" s="11" t="s">
        <v>8</v>
      </c>
      <c r="C105" s="11" t="s">
        <v>219</v>
      </c>
      <c r="D105" s="11" t="s">
        <v>220</v>
      </c>
      <c r="E105" s="11" t="s">
        <v>11</v>
      </c>
      <c r="F105" s="11"/>
      <c r="G105" s="11" t="s">
        <v>12</v>
      </c>
      <c r="H105" s="11"/>
    </row>
    <row r="106" spans="1:8">
      <c r="A106" s="68">
        <v>105</v>
      </c>
      <c r="B106" s="11" t="s">
        <v>8</v>
      </c>
      <c r="C106" s="11" t="s">
        <v>221</v>
      </c>
      <c r="D106" s="11" t="s">
        <v>222</v>
      </c>
      <c r="E106" s="11" t="s">
        <v>11</v>
      </c>
      <c r="F106" s="11"/>
      <c r="G106" s="11" t="s">
        <v>12</v>
      </c>
      <c r="H106" s="11"/>
    </row>
    <row r="107" spans="1:8">
      <c r="A107" s="68">
        <v>106</v>
      </c>
      <c r="B107" s="11" t="s">
        <v>8</v>
      </c>
      <c r="C107" s="11" t="s">
        <v>223</v>
      </c>
      <c r="D107" s="11" t="s">
        <v>224</v>
      </c>
      <c r="E107" s="11" t="s">
        <v>11</v>
      </c>
      <c r="F107" s="11"/>
      <c r="G107" s="11" t="s">
        <v>12</v>
      </c>
      <c r="H107" s="11"/>
    </row>
    <row r="108" spans="1:8">
      <c r="A108" s="68">
        <v>107</v>
      </c>
      <c r="B108" s="11" t="s">
        <v>8</v>
      </c>
      <c r="C108" s="11" t="s">
        <v>225</v>
      </c>
      <c r="D108" s="11" t="s">
        <v>226</v>
      </c>
      <c r="E108" s="11" t="s">
        <v>11</v>
      </c>
      <c r="F108" s="11"/>
      <c r="G108" s="11" t="s">
        <v>12</v>
      </c>
      <c r="H108" s="11"/>
    </row>
    <row r="109" spans="1:8">
      <c r="A109" s="68">
        <v>108</v>
      </c>
      <c r="B109" s="11" t="s">
        <v>8</v>
      </c>
      <c r="C109" s="11" t="s">
        <v>227</v>
      </c>
      <c r="D109" s="11" t="s">
        <v>228</v>
      </c>
      <c r="E109" s="11" t="s">
        <v>11</v>
      </c>
      <c r="F109" s="11"/>
      <c r="G109" s="11" t="s">
        <v>12</v>
      </c>
      <c r="H109" s="11"/>
    </row>
    <row r="110" spans="1:8">
      <c r="A110" s="68">
        <v>109</v>
      </c>
      <c r="B110" s="11" t="s">
        <v>8</v>
      </c>
      <c r="C110" s="11" t="s">
        <v>229</v>
      </c>
      <c r="D110" s="11" t="s">
        <v>230</v>
      </c>
      <c r="E110" s="11" t="s">
        <v>11</v>
      </c>
      <c r="F110" s="11"/>
      <c r="G110" s="11" t="s">
        <v>12</v>
      </c>
      <c r="H110" s="11"/>
    </row>
    <row r="111" spans="1:8">
      <c r="A111" s="68">
        <v>110</v>
      </c>
      <c r="B111" s="11" t="s">
        <v>8</v>
      </c>
      <c r="C111" s="11" t="s">
        <v>231</v>
      </c>
      <c r="D111" s="11" t="s">
        <v>232</v>
      </c>
      <c r="E111" s="11" t="s">
        <v>11</v>
      </c>
      <c r="F111" s="11"/>
      <c r="G111" s="11" t="s">
        <v>12</v>
      </c>
      <c r="H111" s="11"/>
    </row>
    <row r="112" spans="1:8">
      <c r="A112" s="68">
        <v>111</v>
      </c>
      <c r="B112" s="11" t="s">
        <v>8</v>
      </c>
      <c r="C112" s="11" t="s">
        <v>233</v>
      </c>
      <c r="D112" s="11" t="s">
        <v>234</v>
      </c>
      <c r="E112" s="11" t="s">
        <v>11</v>
      </c>
      <c r="F112" s="11"/>
      <c r="G112" s="11" t="s">
        <v>12</v>
      </c>
      <c r="H112" s="11"/>
    </row>
    <row r="113" spans="1:8">
      <c r="A113" s="68">
        <v>112</v>
      </c>
      <c r="B113" s="11" t="s">
        <v>8</v>
      </c>
      <c r="C113" s="11" t="s">
        <v>235</v>
      </c>
      <c r="D113" s="11" t="s">
        <v>236</v>
      </c>
      <c r="E113" s="11" t="s">
        <v>118</v>
      </c>
      <c r="F113" s="11"/>
      <c r="G113" s="11" t="s">
        <v>12</v>
      </c>
      <c r="H113" s="11"/>
    </row>
    <row r="114" spans="1:8">
      <c r="A114" s="68">
        <v>113</v>
      </c>
      <c r="B114" s="11" t="s">
        <v>8</v>
      </c>
      <c r="C114" s="11" t="s">
        <v>237</v>
      </c>
      <c r="D114" s="11" t="s">
        <v>238</v>
      </c>
      <c r="E114" s="11" t="s">
        <v>11</v>
      </c>
      <c r="F114" s="11"/>
      <c r="G114" s="11" t="s">
        <v>12</v>
      </c>
      <c r="H114" s="11"/>
    </row>
    <row r="115" spans="1:8">
      <c r="A115" s="68">
        <v>114</v>
      </c>
      <c r="B115" s="11" t="s">
        <v>8</v>
      </c>
      <c r="C115" s="11" t="s">
        <v>239</v>
      </c>
      <c r="D115" s="11" t="s">
        <v>240</v>
      </c>
      <c r="E115" s="11" t="s">
        <v>118</v>
      </c>
      <c r="F115" s="11"/>
      <c r="G115" s="11" t="s">
        <v>12</v>
      </c>
      <c r="H115" s="11"/>
    </row>
    <row r="116" spans="1:8">
      <c r="A116" s="68">
        <v>115</v>
      </c>
      <c r="B116" s="11" t="s">
        <v>8</v>
      </c>
      <c r="C116" s="11" t="s">
        <v>241</v>
      </c>
      <c r="D116" s="11" t="s">
        <v>242</v>
      </c>
      <c r="E116" s="11" t="s">
        <v>11</v>
      </c>
      <c r="F116" s="11"/>
      <c r="G116" s="11" t="s">
        <v>12</v>
      </c>
      <c r="H116" s="11"/>
    </row>
    <row r="117" spans="1:8">
      <c r="A117" s="68">
        <v>116</v>
      </c>
      <c r="B117" s="11" t="s">
        <v>8</v>
      </c>
      <c r="C117" s="11" t="s">
        <v>243</v>
      </c>
      <c r="D117" s="11" t="s">
        <v>244</v>
      </c>
      <c r="E117" s="11" t="s">
        <v>11</v>
      </c>
      <c r="F117" s="11"/>
      <c r="G117" s="11" t="s">
        <v>12</v>
      </c>
      <c r="H117" s="11"/>
    </row>
    <row r="118" spans="1:8">
      <c r="A118" s="68">
        <v>117</v>
      </c>
      <c r="B118" s="11" t="s">
        <v>8</v>
      </c>
      <c r="C118" s="11" t="s">
        <v>245</v>
      </c>
      <c r="D118" s="11" t="s">
        <v>246</v>
      </c>
      <c r="E118" s="11" t="s">
        <v>11</v>
      </c>
      <c r="F118" s="11"/>
      <c r="G118" s="11" t="s">
        <v>12</v>
      </c>
      <c r="H118" s="11"/>
    </row>
    <row r="119" spans="1:8">
      <c r="A119" s="68">
        <v>118</v>
      </c>
      <c r="B119" s="11" t="s">
        <v>8</v>
      </c>
      <c r="C119" s="11" t="s">
        <v>247</v>
      </c>
      <c r="D119" s="11" t="s">
        <v>248</v>
      </c>
      <c r="E119" s="11" t="s">
        <v>67</v>
      </c>
      <c r="F119" s="11"/>
      <c r="G119" s="11" t="s">
        <v>12</v>
      </c>
      <c r="H119" s="11"/>
    </row>
    <row r="120" spans="1:8">
      <c r="A120" s="68">
        <v>119</v>
      </c>
      <c r="B120" s="11" t="s">
        <v>8</v>
      </c>
      <c r="C120" s="11" t="s">
        <v>249</v>
      </c>
      <c r="D120" s="11" t="s">
        <v>250</v>
      </c>
      <c r="E120" s="11" t="s">
        <v>11</v>
      </c>
      <c r="F120" s="11"/>
      <c r="G120" s="11" t="s">
        <v>12</v>
      </c>
      <c r="H120" s="11"/>
    </row>
    <row r="121" spans="1:8">
      <c r="A121" s="68">
        <v>120</v>
      </c>
      <c r="B121" s="11" t="s">
        <v>8</v>
      </c>
      <c r="C121" s="11" t="s">
        <v>251</v>
      </c>
      <c r="D121" s="11" t="s">
        <v>252</v>
      </c>
      <c r="E121" s="11" t="s">
        <v>11</v>
      </c>
      <c r="F121" s="11"/>
      <c r="G121" s="11" t="s">
        <v>12</v>
      </c>
      <c r="H121" s="11"/>
    </row>
    <row r="122" spans="1:8">
      <c r="A122" s="68">
        <v>121</v>
      </c>
      <c r="B122" s="11" t="s">
        <v>8</v>
      </c>
      <c r="C122" s="11" t="s">
        <v>253</v>
      </c>
      <c r="D122" s="11" t="s">
        <v>254</v>
      </c>
      <c r="E122" s="11" t="s">
        <v>11</v>
      </c>
      <c r="F122" s="11"/>
      <c r="G122" s="11" t="s">
        <v>12</v>
      </c>
      <c r="H122" s="11"/>
    </row>
    <row r="123" spans="1:8">
      <c r="A123" s="68">
        <v>122</v>
      </c>
      <c r="B123" s="11" t="s">
        <v>8</v>
      </c>
      <c r="C123" s="11" t="s">
        <v>255</v>
      </c>
      <c r="D123" s="11" t="s">
        <v>256</v>
      </c>
      <c r="E123" s="11" t="s">
        <v>11</v>
      </c>
      <c r="F123" s="11"/>
      <c r="G123" s="11" t="s">
        <v>12</v>
      </c>
      <c r="H123" s="11"/>
    </row>
    <row r="124" spans="1:8">
      <c r="A124" s="68">
        <v>123</v>
      </c>
      <c r="B124" s="11" t="s">
        <v>8</v>
      </c>
      <c r="C124" s="11" t="s">
        <v>257</v>
      </c>
      <c r="D124" s="11" t="s">
        <v>258</v>
      </c>
      <c r="E124" s="11" t="s">
        <v>11</v>
      </c>
      <c r="F124" s="11"/>
      <c r="G124" s="11" t="s">
        <v>12</v>
      </c>
      <c r="H124" s="11"/>
    </row>
    <row r="125" spans="1:8">
      <c r="A125" s="68">
        <v>124</v>
      </c>
      <c r="B125" s="11" t="s">
        <v>8</v>
      </c>
      <c r="C125" s="11" t="s">
        <v>259</v>
      </c>
      <c r="D125" s="11" t="s">
        <v>260</v>
      </c>
      <c r="E125" s="11" t="s">
        <v>11</v>
      </c>
      <c r="F125" s="11"/>
      <c r="G125" s="11" t="s">
        <v>12</v>
      </c>
      <c r="H125" s="11"/>
    </row>
    <row r="126" spans="1:8">
      <c r="A126" s="68">
        <v>125</v>
      </c>
      <c r="B126" s="11" t="s">
        <v>8</v>
      </c>
      <c r="C126" s="11" t="s">
        <v>261</v>
      </c>
      <c r="D126" s="11" t="s">
        <v>262</v>
      </c>
      <c r="E126" s="11" t="s">
        <v>11</v>
      </c>
      <c r="F126" s="11"/>
      <c r="G126" s="11" t="s">
        <v>12</v>
      </c>
      <c r="H126" s="11"/>
    </row>
    <row r="127" spans="1:8">
      <c r="A127" s="68">
        <v>126</v>
      </c>
      <c r="B127" s="11" t="s">
        <v>8</v>
      </c>
      <c r="C127" s="11" t="s">
        <v>263</v>
      </c>
      <c r="D127" s="11" t="s">
        <v>264</v>
      </c>
      <c r="E127" s="11" t="s">
        <v>11</v>
      </c>
      <c r="F127" s="11"/>
      <c r="G127" s="11" t="s">
        <v>12</v>
      </c>
      <c r="H127" s="11"/>
    </row>
    <row r="128" spans="1:8">
      <c r="A128" s="68">
        <v>127</v>
      </c>
      <c r="B128" s="11" t="s">
        <v>8</v>
      </c>
      <c r="C128" s="11" t="s">
        <v>265</v>
      </c>
      <c r="D128" s="11" t="s">
        <v>266</v>
      </c>
      <c r="E128" s="11" t="s">
        <v>11</v>
      </c>
      <c r="F128" s="11"/>
      <c r="G128" s="11" t="s">
        <v>12</v>
      </c>
      <c r="H128" s="11"/>
    </row>
    <row r="129" spans="1:8">
      <c r="A129" s="68">
        <v>128</v>
      </c>
      <c r="B129" s="11" t="s">
        <v>8</v>
      </c>
      <c r="C129" s="11" t="s">
        <v>267</v>
      </c>
      <c r="D129" s="11" t="s">
        <v>268</v>
      </c>
      <c r="E129" s="11" t="s">
        <v>118</v>
      </c>
      <c r="F129" s="11"/>
      <c r="G129" s="11" t="s">
        <v>12</v>
      </c>
      <c r="H129" s="11"/>
    </row>
    <row r="130" spans="1:8">
      <c r="A130" s="68">
        <v>129</v>
      </c>
      <c r="B130" s="11" t="s">
        <v>8</v>
      </c>
      <c r="C130" s="11" t="s">
        <v>269</v>
      </c>
      <c r="D130" s="11" t="s">
        <v>270</v>
      </c>
      <c r="E130" s="11" t="s">
        <v>11</v>
      </c>
      <c r="F130" s="11"/>
      <c r="G130" s="11" t="s">
        <v>12</v>
      </c>
      <c r="H130" s="11"/>
    </row>
    <row r="131" spans="1:8">
      <c r="A131" s="68">
        <v>130</v>
      </c>
      <c r="B131" s="11" t="s">
        <v>8</v>
      </c>
      <c r="C131" s="11" t="s">
        <v>271</v>
      </c>
      <c r="D131" s="11" t="s">
        <v>272</v>
      </c>
      <c r="E131" s="11" t="s">
        <v>11</v>
      </c>
      <c r="F131" s="11"/>
      <c r="G131" s="11" t="s">
        <v>12</v>
      </c>
      <c r="H131" s="11"/>
    </row>
    <row r="132" spans="1:8">
      <c r="A132" s="68">
        <v>131</v>
      </c>
      <c r="B132" s="11" t="s">
        <v>8</v>
      </c>
      <c r="C132" s="11" t="s">
        <v>273</v>
      </c>
      <c r="D132" s="11" t="s">
        <v>274</v>
      </c>
      <c r="E132" s="11" t="s">
        <v>11</v>
      </c>
      <c r="F132" s="11"/>
      <c r="G132" s="11" t="s">
        <v>12</v>
      </c>
      <c r="H132" s="11"/>
    </row>
    <row r="133" spans="1:8">
      <c r="A133" s="68">
        <v>132</v>
      </c>
      <c r="B133" s="11" t="s">
        <v>8</v>
      </c>
      <c r="C133" s="11" t="s">
        <v>275</v>
      </c>
      <c r="D133" s="11" t="s">
        <v>276</v>
      </c>
      <c r="E133" s="11" t="s">
        <v>11</v>
      </c>
      <c r="F133" s="11"/>
      <c r="G133" s="11" t="s">
        <v>12</v>
      </c>
      <c r="H133" s="11"/>
    </row>
    <row r="134" spans="1:8">
      <c r="A134" s="68">
        <v>133</v>
      </c>
      <c r="B134" s="11" t="s">
        <v>8</v>
      </c>
      <c r="C134" s="11" t="s">
        <v>277</v>
      </c>
      <c r="D134" s="11" t="s">
        <v>278</v>
      </c>
      <c r="E134" s="11" t="s">
        <v>11</v>
      </c>
      <c r="F134" s="11"/>
      <c r="G134" s="11" t="s">
        <v>12</v>
      </c>
      <c r="H134" s="11"/>
    </row>
    <row r="135" spans="1:8">
      <c r="A135" s="68">
        <v>134</v>
      </c>
      <c r="B135" s="11" t="s">
        <v>8</v>
      </c>
      <c r="C135" s="11" t="s">
        <v>279</v>
      </c>
      <c r="D135" s="11" t="s">
        <v>280</v>
      </c>
      <c r="E135" s="11" t="s">
        <v>11</v>
      </c>
      <c r="F135" s="11"/>
      <c r="G135" s="11" t="s">
        <v>12</v>
      </c>
      <c r="H135" s="11"/>
    </row>
    <row r="136" spans="1:8">
      <c r="A136" s="68">
        <v>135</v>
      </c>
      <c r="B136" s="11" t="s">
        <v>8</v>
      </c>
      <c r="C136" s="11" t="s">
        <v>281</v>
      </c>
      <c r="D136" s="11" t="s">
        <v>282</v>
      </c>
      <c r="E136" s="11" t="s">
        <v>67</v>
      </c>
      <c r="F136" s="11"/>
      <c r="G136" s="11" t="s">
        <v>12</v>
      </c>
      <c r="H136" s="11"/>
    </row>
    <row r="137" spans="1:8">
      <c r="A137" s="68">
        <v>136</v>
      </c>
      <c r="B137" s="11" t="s">
        <v>8</v>
      </c>
      <c r="C137" s="11" t="s">
        <v>283</v>
      </c>
      <c r="D137" s="11" t="s">
        <v>284</v>
      </c>
      <c r="E137" s="11" t="s">
        <v>67</v>
      </c>
      <c r="F137" s="11"/>
      <c r="G137" s="11" t="s">
        <v>12</v>
      </c>
      <c r="H137" s="11"/>
    </row>
    <row r="138" spans="1:8">
      <c r="A138" s="68">
        <v>137</v>
      </c>
      <c r="B138" s="11" t="s">
        <v>8</v>
      </c>
      <c r="C138" s="11" t="s">
        <v>285</v>
      </c>
      <c r="D138" s="11" t="s">
        <v>286</v>
      </c>
      <c r="E138" s="11" t="s">
        <v>67</v>
      </c>
      <c r="F138" s="11"/>
      <c r="G138" s="11" t="s">
        <v>12</v>
      </c>
      <c r="H138" s="11"/>
    </row>
    <row r="139" spans="1:8">
      <c r="A139" s="68">
        <v>138</v>
      </c>
      <c r="B139" s="11" t="s">
        <v>8</v>
      </c>
      <c r="C139" s="11" t="s">
        <v>287</v>
      </c>
      <c r="D139" s="11" t="s">
        <v>288</v>
      </c>
      <c r="E139" s="11" t="s">
        <v>11</v>
      </c>
      <c r="F139" s="11"/>
      <c r="G139" s="11" t="s">
        <v>12</v>
      </c>
      <c r="H139" s="11"/>
    </row>
    <row r="140" spans="1:8">
      <c r="A140" s="68">
        <v>139</v>
      </c>
      <c r="B140" s="11" t="s">
        <v>8</v>
      </c>
      <c r="C140" s="11" t="s">
        <v>289</v>
      </c>
      <c r="D140" s="11" t="s">
        <v>290</v>
      </c>
      <c r="E140" s="11" t="s">
        <v>11</v>
      </c>
      <c r="F140" s="11"/>
      <c r="G140" s="11" t="s">
        <v>12</v>
      </c>
      <c r="H140" s="11"/>
    </row>
    <row r="141" spans="1:8">
      <c r="A141" s="68">
        <v>140</v>
      </c>
      <c r="B141" s="11" t="s">
        <v>8</v>
      </c>
      <c r="C141" s="11" t="s">
        <v>291</v>
      </c>
      <c r="D141" s="11" t="s">
        <v>292</v>
      </c>
      <c r="E141" s="11" t="s">
        <v>11</v>
      </c>
      <c r="F141" s="11"/>
      <c r="G141" s="11" t="s">
        <v>12</v>
      </c>
      <c r="H141" s="11"/>
    </row>
    <row r="142" spans="1:8">
      <c r="A142" s="68">
        <v>141</v>
      </c>
      <c r="B142" s="11" t="s">
        <v>8</v>
      </c>
      <c r="C142" s="11" t="s">
        <v>293</v>
      </c>
      <c r="D142" s="11" t="s">
        <v>294</v>
      </c>
      <c r="E142" s="11" t="s">
        <v>11</v>
      </c>
      <c r="F142" s="11"/>
      <c r="G142" s="11" t="s">
        <v>12</v>
      </c>
      <c r="H142" s="11"/>
    </row>
    <row r="143" spans="1:8">
      <c r="A143" s="68">
        <v>142</v>
      </c>
      <c r="B143" s="11" t="s">
        <v>8</v>
      </c>
      <c r="C143" s="11" t="s">
        <v>295</v>
      </c>
      <c r="D143" s="11" t="s">
        <v>296</v>
      </c>
      <c r="E143" s="11" t="s">
        <v>11</v>
      </c>
      <c r="F143" s="11"/>
      <c r="G143" s="11" t="s">
        <v>12</v>
      </c>
      <c r="H143" s="11"/>
    </row>
    <row r="144" spans="1:8">
      <c r="A144" s="68">
        <v>143</v>
      </c>
      <c r="B144" s="11" t="s">
        <v>8</v>
      </c>
      <c r="C144" s="11" t="s">
        <v>297</v>
      </c>
      <c r="D144" s="11" t="s">
        <v>298</v>
      </c>
      <c r="E144" s="11" t="s">
        <v>11</v>
      </c>
      <c r="F144" s="11"/>
      <c r="G144" s="11" t="s">
        <v>12</v>
      </c>
      <c r="H144" s="11"/>
    </row>
    <row r="145" spans="1:8">
      <c r="A145" s="68">
        <v>144</v>
      </c>
      <c r="B145" s="11" t="s">
        <v>8</v>
      </c>
      <c r="C145" s="11" t="s">
        <v>299</v>
      </c>
      <c r="D145" s="11" t="s">
        <v>300</v>
      </c>
      <c r="E145" s="11" t="s">
        <v>11</v>
      </c>
      <c r="F145" s="11"/>
      <c r="G145" s="11" t="s">
        <v>12</v>
      </c>
      <c r="H145" s="11"/>
    </row>
    <row r="146" spans="1:8">
      <c r="A146" s="68">
        <v>145</v>
      </c>
      <c r="B146" s="11" t="s">
        <v>8</v>
      </c>
      <c r="C146" s="11" t="s">
        <v>301</v>
      </c>
      <c r="D146" s="11" t="s">
        <v>302</v>
      </c>
      <c r="E146" s="11" t="s">
        <v>11</v>
      </c>
      <c r="F146" s="11"/>
      <c r="G146" s="11" t="s">
        <v>12</v>
      </c>
      <c r="H146" s="11"/>
    </row>
    <row r="147" spans="1:8">
      <c r="A147" s="68">
        <v>146</v>
      </c>
      <c r="B147" s="11" t="s">
        <v>8</v>
      </c>
      <c r="C147" s="11" t="s">
        <v>303</v>
      </c>
      <c r="D147" s="11" t="s">
        <v>304</v>
      </c>
      <c r="E147" s="11" t="s">
        <v>11</v>
      </c>
      <c r="F147" s="11"/>
      <c r="G147" s="11" t="s">
        <v>12</v>
      </c>
      <c r="H147" s="11"/>
    </row>
    <row r="148" spans="1:8">
      <c r="A148" s="68">
        <v>147</v>
      </c>
      <c r="B148" s="11" t="s">
        <v>8</v>
      </c>
      <c r="C148" s="11" t="s">
        <v>305</v>
      </c>
      <c r="D148" s="11" t="s">
        <v>306</v>
      </c>
      <c r="E148" s="11" t="s">
        <v>11</v>
      </c>
      <c r="F148" s="11"/>
      <c r="G148" s="11" t="s">
        <v>12</v>
      </c>
      <c r="H148" s="11"/>
    </row>
    <row r="149" spans="1:8">
      <c r="A149" s="68">
        <v>148</v>
      </c>
      <c r="B149" s="11" t="s">
        <v>8</v>
      </c>
      <c r="C149" s="11" t="s">
        <v>307</v>
      </c>
      <c r="D149" s="11" t="s">
        <v>308</v>
      </c>
      <c r="E149" s="11" t="s">
        <v>11</v>
      </c>
      <c r="F149" s="11"/>
      <c r="G149" s="11" t="s">
        <v>12</v>
      </c>
      <c r="H149" s="11"/>
    </row>
    <row r="150" spans="1:8">
      <c r="A150" s="68">
        <v>149</v>
      </c>
      <c r="B150" s="11" t="s">
        <v>8</v>
      </c>
      <c r="C150" s="11" t="s">
        <v>309</v>
      </c>
      <c r="D150" s="11" t="s">
        <v>310</v>
      </c>
      <c r="E150" s="11" t="s">
        <v>11</v>
      </c>
      <c r="F150" s="11"/>
      <c r="G150" s="11" t="s">
        <v>12</v>
      </c>
      <c r="H150" s="11"/>
    </row>
    <row r="151" spans="1:8">
      <c r="A151" s="68">
        <v>150</v>
      </c>
      <c r="B151" s="11" t="s">
        <v>8</v>
      </c>
      <c r="C151" s="11" t="s">
        <v>311</v>
      </c>
      <c r="D151" s="11" t="s">
        <v>312</v>
      </c>
      <c r="E151" s="11" t="s">
        <v>11</v>
      </c>
      <c r="F151" s="11"/>
      <c r="G151" s="11" t="s">
        <v>12</v>
      </c>
      <c r="H151" s="11"/>
    </row>
    <row r="152" spans="1:8">
      <c r="A152" s="68">
        <v>151</v>
      </c>
      <c r="B152" s="11" t="s">
        <v>8</v>
      </c>
      <c r="C152" s="11" t="s">
        <v>313</v>
      </c>
      <c r="D152" s="11" t="s">
        <v>314</v>
      </c>
      <c r="E152" s="11" t="s">
        <v>11</v>
      </c>
      <c r="F152" s="11"/>
      <c r="G152" s="11" t="s">
        <v>12</v>
      </c>
      <c r="H152" s="11"/>
    </row>
    <row r="153" s="67" customFormat="1" spans="1:8">
      <c r="A153" s="71">
        <v>152</v>
      </c>
      <c r="B153" s="72" t="s">
        <v>315</v>
      </c>
      <c r="C153" s="72" t="s">
        <v>316</v>
      </c>
      <c r="D153" s="72" t="s">
        <v>317</v>
      </c>
      <c r="E153" s="72" t="s">
        <v>67</v>
      </c>
      <c r="F153" s="72"/>
      <c r="G153" s="72" t="s">
        <v>12</v>
      </c>
      <c r="H153" s="72"/>
    </row>
    <row r="154" spans="1:8">
      <c r="A154" s="68">
        <v>153</v>
      </c>
      <c r="B154" s="11" t="s">
        <v>315</v>
      </c>
      <c r="C154" s="11" t="s">
        <v>318</v>
      </c>
      <c r="D154" s="11" t="s">
        <v>319</v>
      </c>
      <c r="E154" s="11" t="s">
        <v>11</v>
      </c>
      <c r="F154" s="11"/>
      <c r="G154" s="11" t="s">
        <v>12</v>
      </c>
      <c r="H154" s="11"/>
    </row>
    <row r="155" spans="1:8">
      <c r="A155" s="68">
        <v>154</v>
      </c>
      <c r="B155" s="11" t="s">
        <v>315</v>
      </c>
      <c r="C155" s="11" t="s">
        <v>320</v>
      </c>
      <c r="D155" s="11" t="s">
        <v>321</v>
      </c>
      <c r="E155" s="11" t="s">
        <v>11</v>
      </c>
      <c r="F155" s="11"/>
      <c r="G155" s="11" t="s">
        <v>12</v>
      </c>
      <c r="H155" s="11"/>
    </row>
    <row r="156" spans="1:8">
      <c r="A156" s="68">
        <v>155</v>
      </c>
      <c r="B156" s="11" t="s">
        <v>315</v>
      </c>
      <c r="C156" s="11" t="s">
        <v>322</v>
      </c>
      <c r="D156" s="11" t="s">
        <v>323</v>
      </c>
      <c r="E156" s="11" t="s">
        <v>11</v>
      </c>
      <c r="F156" s="11"/>
      <c r="G156" s="11" t="s">
        <v>12</v>
      </c>
      <c r="H156" s="11"/>
    </row>
    <row r="157" spans="1:8">
      <c r="A157" s="68">
        <v>156</v>
      </c>
      <c r="B157" s="11" t="s">
        <v>315</v>
      </c>
      <c r="C157" s="11" t="s">
        <v>324</v>
      </c>
      <c r="D157" s="11" t="s">
        <v>325</v>
      </c>
      <c r="E157" s="11" t="s">
        <v>11</v>
      </c>
      <c r="F157" s="11"/>
      <c r="G157" s="11" t="s">
        <v>12</v>
      </c>
      <c r="H157" s="11"/>
    </row>
  </sheetData>
  <autoFilter xmlns:etc="http://www.wps.cn/officeDocument/2017/etCustomData" ref="A1:H157" etc:filterBottomFollowUsedRange="0">
    <extLst/>
  </autoFilter>
  <dataValidations count="2">
    <dataValidation type="list" allowBlank="1" showInputMessage="1" showErrorMessage="1" sqref="B2:B98">
      <formula1>"零组件,零组件BOM"</formula1>
    </dataValidation>
    <dataValidation type="list" allowBlank="1" showInputMessage="1" showErrorMessage="1" sqref="E2:E98">
      <formula1>"字符串,实数,整数"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2"/>
  <sheetViews>
    <sheetView tabSelected="1" topLeftCell="A9" workbookViewId="0">
      <selection activeCell="D27" sqref="D27"/>
    </sheetView>
  </sheetViews>
  <sheetFormatPr defaultColWidth="9" defaultRowHeight="13.8"/>
  <cols>
    <col min="1" max="1" width="5.22222222222222" customWidth="1"/>
    <col min="2" max="2" width="11.5555555555556" customWidth="1"/>
    <col min="3" max="3" width="14.7777777777778" customWidth="1"/>
    <col min="4" max="4" width="37.5555555555556" customWidth="1"/>
    <col min="5" max="5" width="32.1111111111111" customWidth="1"/>
    <col min="7" max="7" width="15.6666666666667" customWidth="1"/>
    <col min="8" max="8" width="25" style="3" customWidth="1"/>
    <col min="9" max="9" width="15.3333333333333" customWidth="1"/>
    <col min="10" max="11" width="9" customWidth="1"/>
    <col min="18" max="19" width="9" customWidth="1"/>
  </cols>
  <sheetData>
    <row r="1" spans="1:19">
      <c r="A1" s="4" t="s">
        <v>0</v>
      </c>
      <c r="B1" s="5" t="s">
        <v>326</v>
      </c>
      <c r="C1" s="5" t="s">
        <v>3</v>
      </c>
      <c r="D1" s="5" t="s">
        <v>2</v>
      </c>
      <c r="E1" s="5" t="s">
        <v>3</v>
      </c>
      <c r="F1" s="5" t="s">
        <v>4</v>
      </c>
      <c r="G1" s="5" t="s">
        <v>327</v>
      </c>
      <c r="H1" s="6" t="s">
        <v>328</v>
      </c>
      <c r="I1" s="7" t="s">
        <v>7</v>
      </c>
      <c r="J1" s="8"/>
      <c r="K1" s="9"/>
      <c r="L1" s="9"/>
      <c r="M1" s="9"/>
      <c r="N1" s="9"/>
      <c r="O1" s="9"/>
      <c r="P1" s="9"/>
      <c r="Q1" s="9"/>
      <c r="R1" s="9"/>
      <c r="S1" s="9"/>
    </row>
    <row r="2" spans="1:19">
      <c r="A2" s="10">
        <v>1</v>
      </c>
      <c r="B2" s="11" t="s">
        <v>329</v>
      </c>
      <c r="C2" s="11" t="s">
        <v>330</v>
      </c>
      <c r="D2" s="12" t="s">
        <v>331</v>
      </c>
      <c r="E2" s="13" t="s">
        <v>332</v>
      </c>
      <c r="F2" s="14" t="s">
        <v>67</v>
      </c>
      <c r="G2" s="14" t="s">
        <v>333</v>
      </c>
      <c r="H2" s="15"/>
      <c r="I2" s="16"/>
      <c r="J2" s="17"/>
      <c r="K2" s="18"/>
      <c r="L2" s="18"/>
      <c r="M2" s="18"/>
      <c r="N2" s="18"/>
      <c r="O2" s="18"/>
      <c r="P2" s="18"/>
      <c r="Q2" s="18"/>
      <c r="R2" s="18"/>
      <c r="S2" s="18"/>
    </row>
    <row r="3" s="1" customFormat="1" spans="1:19">
      <c r="A3" s="10">
        <v>2</v>
      </c>
      <c r="B3" s="19" t="s">
        <v>8</v>
      </c>
      <c r="C3" s="19" t="s">
        <v>330</v>
      </c>
      <c r="D3" s="19" t="s">
        <v>102</v>
      </c>
      <c r="E3" s="20" t="s">
        <v>103</v>
      </c>
      <c r="F3" s="19" t="s">
        <v>67</v>
      </c>
      <c r="G3" s="19" t="s">
        <v>334</v>
      </c>
      <c r="H3" s="21">
        <f>系统属性!F47</f>
        <v>0</v>
      </c>
      <c r="I3" s="22"/>
      <c r="J3" s="23"/>
      <c r="K3" s="24"/>
      <c r="L3" s="24"/>
      <c r="M3" s="24"/>
      <c r="N3" s="24"/>
      <c r="O3" s="24"/>
      <c r="P3" s="24"/>
      <c r="Q3" s="24"/>
      <c r="R3" s="24"/>
      <c r="S3" s="24"/>
    </row>
    <row r="4" s="1" customFormat="1" spans="1:19">
      <c r="A4" s="10">
        <v>3</v>
      </c>
      <c r="B4" s="25" t="s">
        <v>329</v>
      </c>
      <c r="C4" s="25" t="s">
        <v>330</v>
      </c>
      <c r="D4" s="26" t="s">
        <v>335</v>
      </c>
      <c r="E4" s="27" t="s">
        <v>336</v>
      </c>
      <c r="F4" s="25" t="s">
        <v>67</v>
      </c>
      <c r="G4" s="25" t="s">
        <v>333</v>
      </c>
      <c r="H4" s="28"/>
      <c r="I4" s="29"/>
      <c r="J4" s="23"/>
      <c r="K4" s="24"/>
      <c r="L4" s="24"/>
      <c r="M4" s="24"/>
      <c r="N4" s="24"/>
      <c r="O4" s="24"/>
      <c r="P4" s="24"/>
      <c r="Q4" s="24"/>
      <c r="R4" s="24"/>
      <c r="S4" s="24"/>
    </row>
    <row r="5" s="1" customFormat="1" spans="1:19">
      <c r="A5" s="10">
        <v>4</v>
      </c>
      <c r="B5" s="25" t="s">
        <v>329</v>
      </c>
      <c r="C5" s="25" t="s">
        <v>330</v>
      </c>
      <c r="D5" s="30" t="s">
        <v>337</v>
      </c>
      <c r="E5" s="31" t="s">
        <v>338</v>
      </c>
      <c r="F5" s="32" t="s">
        <v>67</v>
      </c>
      <c r="G5" s="32" t="s">
        <v>334</v>
      </c>
      <c r="H5" s="33">
        <f>IFERROR(H2*H3/H4,0)</f>
        <v>0</v>
      </c>
      <c r="I5" s="29"/>
      <c r="J5" s="23"/>
      <c r="K5" s="24"/>
      <c r="L5" s="24"/>
      <c r="M5" s="24"/>
      <c r="N5" s="24"/>
      <c r="O5" s="24"/>
      <c r="P5" s="24"/>
      <c r="Q5" s="24"/>
      <c r="R5" s="24"/>
      <c r="S5" s="24"/>
    </row>
    <row r="6" s="1" customFormat="1" spans="1:19">
      <c r="A6" s="10">
        <v>5</v>
      </c>
      <c r="B6" s="25" t="s">
        <v>329</v>
      </c>
      <c r="C6" s="25" t="s">
        <v>330</v>
      </c>
      <c r="D6" s="26" t="s">
        <v>339</v>
      </c>
      <c r="E6" s="27" t="s">
        <v>340</v>
      </c>
      <c r="F6" s="25" t="s">
        <v>67</v>
      </c>
      <c r="G6" s="25" t="s">
        <v>333</v>
      </c>
      <c r="H6" s="28"/>
      <c r="I6" s="29"/>
      <c r="J6" s="34"/>
      <c r="K6" s="35"/>
      <c r="L6" s="35"/>
      <c r="M6" s="35"/>
      <c r="N6" s="35"/>
      <c r="O6" s="35"/>
      <c r="P6" s="24"/>
      <c r="Q6" s="24"/>
      <c r="R6" s="24"/>
      <c r="S6" s="24"/>
    </row>
    <row r="7" s="1" customFormat="1" spans="1:19">
      <c r="A7" s="10">
        <v>6</v>
      </c>
      <c r="B7" s="25" t="s">
        <v>329</v>
      </c>
      <c r="C7" s="25" t="s">
        <v>330</v>
      </c>
      <c r="D7" s="26" t="s">
        <v>341</v>
      </c>
      <c r="E7" s="31" t="s">
        <v>342</v>
      </c>
      <c r="F7" s="32" t="s">
        <v>67</v>
      </c>
      <c r="G7" s="32" t="s">
        <v>334</v>
      </c>
      <c r="H7" s="33">
        <f>IFERROR(H6*H3/H4,0)</f>
        <v>0</v>
      </c>
      <c r="I7" s="29"/>
      <c r="J7" s="23"/>
      <c r="K7" s="24"/>
      <c r="L7" s="24"/>
      <c r="M7" s="24"/>
      <c r="N7" s="24"/>
      <c r="O7" s="24"/>
      <c r="P7" s="24"/>
      <c r="Q7" s="24"/>
      <c r="R7" s="24"/>
      <c r="S7" s="24"/>
    </row>
    <row r="8" s="1" customFormat="1" spans="1:19">
      <c r="A8" s="10">
        <v>7</v>
      </c>
      <c r="B8" s="25" t="s">
        <v>329</v>
      </c>
      <c r="C8" s="25" t="s">
        <v>330</v>
      </c>
      <c r="D8" s="26" t="s">
        <v>343</v>
      </c>
      <c r="E8" s="27" t="s">
        <v>344</v>
      </c>
      <c r="F8" s="25" t="s">
        <v>67</v>
      </c>
      <c r="G8" s="25" t="s">
        <v>333</v>
      </c>
      <c r="H8" s="28"/>
      <c r="I8" s="29"/>
      <c r="J8" s="34"/>
      <c r="K8" s="35"/>
      <c r="L8" s="35"/>
      <c r="M8" s="35"/>
      <c r="N8" s="35"/>
      <c r="O8" s="35"/>
      <c r="P8" s="24"/>
      <c r="Q8" s="24"/>
      <c r="R8" s="24"/>
      <c r="S8" s="24"/>
    </row>
    <row r="9" s="1" customFormat="1" spans="1:19">
      <c r="A9" s="10">
        <v>8</v>
      </c>
      <c r="B9" s="25" t="s">
        <v>329</v>
      </c>
      <c r="C9" s="25" t="s">
        <v>330</v>
      </c>
      <c r="D9" s="26" t="s">
        <v>345</v>
      </c>
      <c r="E9" s="31" t="s">
        <v>346</v>
      </c>
      <c r="F9" s="32" t="s">
        <v>67</v>
      </c>
      <c r="G9" s="32" t="s">
        <v>334</v>
      </c>
      <c r="H9" s="33">
        <f>IFERROR(H8*H3/H4,0)</f>
        <v>0</v>
      </c>
      <c r="I9" s="36"/>
      <c r="J9" s="23"/>
      <c r="K9" s="24"/>
      <c r="L9" s="24"/>
      <c r="M9" s="24"/>
      <c r="N9" s="24"/>
      <c r="O9" s="24"/>
      <c r="P9" s="24"/>
      <c r="Q9" s="24"/>
      <c r="R9" s="24"/>
      <c r="S9" s="24"/>
    </row>
    <row r="10" s="1" customFormat="1" spans="1:19">
      <c r="A10" s="10">
        <v>9</v>
      </c>
      <c r="B10" s="25" t="s">
        <v>329</v>
      </c>
      <c r="C10" s="25" t="s">
        <v>330</v>
      </c>
      <c r="D10" s="26" t="s">
        <v>347</v>
      </c>
      <c r="E10" s="27" t="s">
        <v>348</v>
      </c>
      <c r="F10" s="25" t="s">
        <v>67</v>
      </c>
      <c r="G10" s="25" t="s">
        <v>333</v>
      </c>
      <c r="H10" s="28"/>
      <c r="I10" s="29"/>
      <c r="J10" s="34"/>
      <c r="K10" s="35"/>
      <c r="L10" s="35"/>
      <c r="M10" s="35"/>
      <c r="N10" s="35"/>
      <c r="O10" s="35"/>
      <c r="P10" s="24"/>
      <c r="Q10" s="24"/>
      <c r="R10" s="24"/>
      <c r="S10" s="24"/>
    </row>
    <row r="11" s="1" customFormat="1" spans="1:19">
      <c r="A11" s="10">
        <v>10</v>
      </c>
      <c r="B11" s="25" t="s">
        <v>329</v>
      </c>
      <c r="C11" s="25" t="s">
        <v>330</v>
      </c>
      <c r="D11" s="26" t="s">
        <v>349</v>
      </c>
      <c r="E11" s="31" t="s">
        <v>350</v>
      </c>
      <c r="F11" s="32" t="s">
        <v>67</v>
      </c>
      <c r="G11" s="32" t="s">
        <v>334</v>
      </c>
      <c r="H11" s="33">
        <f>H10*H12/1000</f>
        <v>0</v>
      </c>
      <c r="I11" s="36"/>
      <c r="J11" s="23"/>
      <c r="K11" s="24"/>
      <c r="L11" s="24"/>
      <c r="M11" s="24"/>
      <c r="N11" s="24"/>
      <c r="O11" s="24"/>
      <c r="P11" s="24"/>
      <c r="Q11" s="24"/>
      <c r="R11" s="24"/>
      <c r="S11" s="24"/>
    </row>
    <row r="12" s="1" customFormat="1" spans="1:19">
      <c r="A12" s="10">
        <v>11</v>
      </c>
      <c r="B12" s="19" t="s">
        <v>8</v>
      </c>
      <c r="C12" s="19" t="s">
        <v>330</v>
      </c>
      <c r="D12" s="19" t="s">
        <v>65</v>
      </c>
      <c r="E12" s="20" t="s">
        <v>66</v>
      </c>
      <c r="F12" s="37" t="s">
        <v>67</v>
      </c>
      <c r="G12" s="37" t="s">
        <v>334</v>
      </c>
      <c r="H12" s="38">
        <f>系统属性!F29</f>
        <v>0</v>
      </c>
      <c r="I12" s="36"/>
      <c r="J12" s="23"/>
      <c r="K12" s="24"/>
      <c r="L12" s="24"/>
      <c r="M12" s="24"/>
      <c r="N12" s="24"/>
      <c r="O12" s="24"/>
      <c r="P12" s="24"/>
      <c r="Q12" s="24"/>
      <c r="R12" s="24"/>
      <c r="S12" s="24"/>
    </row>
    <row r="13" s="1" customFormat="1" spans="1:19">
      <c r="A13" s="10">
        <v>12</v>
      </c>
      <c r="B13" s="25" t="s">
        <v>329</v>
      </c>
      <c r="C13" s="25" t="s">
        <v>330</v>
      </c>
      <c r="D13" s="26" t="s">
        <v>351</v>
      </c>
      <c r="E13" s="39" t="s">
        <v>352</v>
      </c>
      <c r="F13" s="25" t="s">
        <v>67</v>
      </c>
      <c r="G13" s="25" t="s">
        <v>333</v>
      </c>
      <c r="H13" s="28"/>
      <c r="I13" s="29"/>
      <c r="J13" s="34"/>
      <c r="K13" s="35"/>
      <c r="L13" s="35"/>
      <c r="M13" s="35"/>
      <c r="N13" s="35"/>
      <c r="O13" s="35"/>
      <c r="P13" s="24"/>
      <c r="Q13" s="24"/>
      <c r="R13" s="24"/>
      <c r="S13" s="24"/>
    </row>
    <row r="14" s="1" customFormat="1" spans="1:19">
      <c r="A14" s="10">
        <v>13</v>
      </c>
      <c r="B14" s="25" t="s">
        <v>329</v>
      </c>
      <c r="C14" s="25" t="s">
        <v>330</v>
      </c>
      <c r="D14" s="40" t="s">
        <v>353</v>
      </c>
      <c r="E14" s="41" t="s">
        <v>354</v>
      </c>
      <c r="F14" s="37" t="s">
        <v>67</v>
      </c>
      <c r="G14" s="37" t="s">
        <v>334</v>
      </c>
      <c r="H14" s="38">
        <f>H13*H12/1000</f>
        <v>0</v>
      </c>
      <c r="I14" s="36"/>
      <c r="J14" s="23"/>
      <c r="K14" s="24"/>
      <c r="L14" s="24"/>
      <c r="M14" s="24"/>
      <c r="N14" s="24"/>
      <c r="O14" s="24"/>
      <c r="P14" s="24"/>
      <c r="Q14" s="24"/>
      <c r="R14" s="24"/>
      <c r="S14" s="24"/>
    </row>
    <row r="15" s="1" customFormat="1" spans="1:19">
      <c r="A15" s="10">
        <v>14</v>
      </c>
      <c r="B15" s="25" t="s">
        <v>329</v>
      </c>
      <c r="C15" s="25" t="s">
        <v>330</v>
      </c>
      <c r="D15" s="26" t="s">
        <v>355</v>
      </c>
      <c r="E15" s="39" t="s">
        <v>356</v>
      </c>
      <c r="F15" s="25" t="s">
        <v>67</v>
      </c>
      <c r="G15" s="25" t="s">
        <v>333</v>
      </c>
      <c r="H15" s="28"/>
      <c r="I15" s="29"/>
      <c r="J15" s="34"/>
      <c r="K15" s="35"/>
      <c r="L15" s="35"/>
      <c r="M15" s="35"/>
      <c r="N15" s="35"/>
      <c r="O15" s="35"/>
      <c r="P15" s="24"/>
      <c r="Q15" s="24"/>
      <c r="R15" s="24"/>
      <c r="S15" s="24"/>
    </row>
    <row r="16" s="1" customFormat="1" spans="1:19">
      <c r="A16" s="10">
        <v>15</v>
      </c>
      <c r="B16" s="25" t="s">
        <v>329</v>
      </c>
      <c r="C16" s="25" t="s">
        <v>330</v>
      </c>
      <c r="D16" s="40" t="s">
        <v>357</v>
      </c>
      <c r="E16" s="41" t="s">
        <v>358</v>
      </c>
      <c r="F16" s="37" t="s">
        <v>67</v>
      </c>
      <c r="G16" s="37" t="s">
        <v>334</v>
      </c>
      <c r="H16" s="38">
        <f>H15*H12/1000</f>
        <v>0</v>
      </c>
      <c r="I16" s="36"/>
      <c r="J16" s="23"/>
      <c r="K16" s="24"/>
      <c r="L16" s="24"/>
      <c r="M16" s="24"/>
      <c r="N16" s="24"/>
      <c r="O16" s="24"/>
      <c r="P16" s="24"/>
      <c r="Q16" s="24"/>
      <c r="R16" s="24"/>
      <c r="S16" s="24"/>
    </row>
    <row r="17" s="1" customFormat="1" spans="1:19">
      <c r="A17" s="10">
        <v>16</v>
      </c>
      <c r="B17" s="25" t="s">
        <v>329</v>
      </c>
      <c r="C17" s="25" t="s">
        <v>330</v>
      </c>
      <c r="D17" s="26" t="s">
        <v>359</v>
      </c>
      <c r="E17" s="39" t="s">
        <v>360</v>
      </c>
      <c r="F17" s="25" t="s">
        <v>67</v>
      </c>
      <c r="G17" s="25" t="s">
        <v>333</v>
      </c>
      <c r="H17" s="28"/>
      <c r="I17" s="29"/>
      <c r="J17" s="34"/>
      <c r="K17" s="35"/>
      <c r="L17" s="35"/>
      <c r="M17" s="35"/>
      <c r="N17" s="35"/>
      <c r="O17" s="35"/>
      <c r="P17" s="24"/>
      <c r="Q17" s="24"/>
      <c r="R17" s="24"/>
      <c r="S17" s="24"/>
    </row>
    <row r="18" s="1" customFormat="1" spans="1:19">
      <c r="A18" s="10">
        <v>17</v>
      </c>
      <c r="B18" s="25" t="s">
        <v>329</v>
      </c>
      <c r="C18" s="25" t="s">
        <v>330</v>
      </c>
      <c r="D18" s="40" t="s">
        <v>361</v>
      </c>
      <c r="E18" s="41" t="s">
        <v>362</v>
      </c>
      <c r="F18" s="37" t="s">
        <v>67</v>
      </c>
      <c r="G18" s="37" t="s">
        <v>334</v>
      </c>
      <c r="H18" s="38">
        <f>H17*H12/1000</f>
        <v>0</v>
      </c>
      <c r="I18" s="36"/>
      <c r="J18" s="23"/>
      <c r="K18" s="24"/>
      <c r="L18" s="24"/>
      <c r="M18" s="24"/>
      <c r="N18" s="24"/>
      <c r="O18" s="24"/>
      <c r="P18" s="24"/>
      <c r="Q18" s="24"/>
      <c r="R18" s="24"/>
      <c r="S18" s="24"/>
    </row>
    <row r="19" s="1" customFormat="1" spans="1:19">
      <c r="A19" s="10">
        <v>18</v>
      </c>
      <c r="B19" s="25" t="s">
        <v>329</v>
      </c>
      <c r="C19" s="25" t="s">
        <v>330</v>
      </c>
      <c r="D19" s="26" t="s">
        <v>363</v>
      </c>
      <c r="E19" s="39" t="s">
        <v>364</v>
      </c>
      <c r="F19" s="25" t="s">
        <v>67</v>
      </c>
      <c r="G19" s="25" t="s">
        <v>333</v>
      </c>
      <c r="H19" s="28"/>
      <c r="I19" s="29"/>
      <c r="J19" s="34"/>
      <c r="K19" s="35"/>
      <c r="L19" s="35"/>
      <c r="M19" s="35"/>
      <c r="N19" s="35"/>
      <c r="O19" s="35"/>
      <c r="P19" s="24"/>
      <c r="Q19" s="24"/>
      <c r="R19" s="24"/>
      <c r="S19" s="24"/>
    </row>
    <row r="20" s="1" customFormat="1" spans="1:19">
      <c r="A20" s="10">
        <v>19</v>
      </c>
      <c r="B20" s="25" t="s">
        <v>329</v>
      </c>
      <c r="C20" s="25" t="s">
        <v>330</v>
      </c>
      <c r="D20" s="40" t="s">
        <v>365</v>
      </c>
      <c r="E20" s="41" t="s">
        <v>366</v>
      </c>
      <c r="F20" s="37" t="s">
        <v>67</v>
      </c>
      <c r="G20" s="37" t="s">
        <v>334</v>
      </c>
      <c r="H20" s="38">
        <f>H19*H12/1000</f>
        <v>0</v>
      </c>
      <c r="I20" s="36"/>
      <c r="J20" s="23"/>
      <c r="K20" s="24"/>
      <c r="L20" s="24"/>
      <c r="M20" s="24"/>
      <c r="N20" s="24"/>
      <c r="O20" s="24"/>
      <c r="P20" s="24"/>
      <c r="Q20" s="24"/>
      <c r="R20" s="24"/>
      <c r="S20" s="24"/>
    </row>
    <row r="21" s="1" customFormat="1" spans="1:19">
      <c r="A21" s="10">
        <v>20</v>
      </c>
      <c r="B21" s="19" t="s">
        <v>315</v>
      </c>
      <c r="C21" s="19" t="s">
        <v>330</v>
      </c>
      <c r="D21" s="19" t="s">
        <v>316</v>
      </c>
      <c r="E21" s="42" t="s">
        <v>317</v>
      </c>
      <c r="F21" s="19" t="s">
        <v>67</v>
      </c>
      <c r="G21" s="19" t="s">
        <v>334</v>
      </c>
      <c r="H21" s="28">
        <f>系统属性!F153</f>
        <v>0</v>
      </c>
      <c r="I21" s="29"/>
      <c r="J21" s="23"/>
      <c r="K21" s="24"/>
      <c r="L21" s="24"/>
      <c r="M21" s="24"/>
      <c r="N21" s="24"/>
      <c r="O21" s="24"/>
      <c r="P21" s="24"/>
      <c r="Q21" s="24"/>
      <c r="R21" s="24"/>
      <c r="S21" s="24"/>
    </row>
    <row r="22" s="1" customFormat="1" spans="1:19">
      <c r="A22" s="10">
        <v>21</v>
      </c>
      <c r="B22" s="25" t="s">
        <v>329</v>
      </c>
      <c r="C22" s="25" t="s">
        <v>330</v>
      </c>
      <c r="D22" s="26" t="s">
        <v>367</v>
      </c>
      <c r="E22" s="39" t="s">
        <v>368</v>
      </c>
      <c r="F22" s="25" t="s">
        <v>67</v>
      </c>
      <c r="G22" s="25" t="s">
        <v>333</v>
      </c>
      <c r="H22" s="28"/>
      <c r="I22" s="29"/>
      <c r="J22" s="34"/>
      <c r="K22" s="35"/>
      <c r="L22" s="35"/>
      <c r="M22" s="35"/>
      <c r="N22" s="35"/>
      <c r="O22" s="35"/>
      <c r="P22" s="24"/>
      <c r="Q22" s="24"/>
      <c r="R22" s="24"/>
      <c r="S22" s="24"/>
    </row>
    <row r="23" s="1" customFormat="1" spans="1:19">
      <c r="A23" s="10">
        <v>22</v>
      </c>
      <c r="B23" s="25" t="s">
        <v>329</v>
      </c>
      <c r="C23" s="25" t="s">
        <v>330</v>
      </c>
      <c r="D23" s="26" t="s">
        <v>369</v>
      </c>
      <c r="E23" s="31" t="s">
        <v>370</v>
      </c>
      <c r="F23" s="32" t="s">
        <v>67</v>
      </c>
      <c r="G23" s="32" t="s">
        <v>334</v>
      </c>
      <c r="H23" s="33">
        <f>H22*H21</f>
        <v>0</v>
      </c>
      <c r="I23" s="36"/>
      <c r="J23" s="23"/>
      <c r="K23" s="24"/>
      <c r="L23" s="24"/>
      <c r="M23" s="24"/>
      <c r="N23" s="24"/>
      <c r="O23" s="24"/>
      <c r="P23" s="24"/>
      <c r="Q23" s="24"/>
      <c r="R23" s="24"/>
      <c r="S23" s="24"/>
    </row>
    <row r="24" s="1" customFormat="1" spans="1:19">
      <c r="A24" s="10">
        <v>23</v>
      </c>
      <c r="B24" s="25" t="s">
        <v>329</v>
      </c>
      <c r="C24" s="25" t="s">
        <v>330</v>
      </c>
      <c r="D24" s="26" t="s">
        <v>371</v>
      </c>
      <c r="E24" s="39" t="s">
        <v>372</v>
      </c>
      <c r="F24" s="25" t="s">
        <v>67</v>
      </c>
      <c r="G24" s="25" t="s">
        <v>333</v>
      </c>
      <c r="H24" s="28"/>
      <c r="I24" s="29"/>
      <c r="J24" s="34"/>
      <c r="K24" s="35"/>
      <c r="L24" s="35"/>
      <c r="M24" s="35"/>
      <c r="N24" s="35"/>
      <c r="O24" s="35"/>
      <c r="P24" s="24"/>
      <c r="Q24" s="24"/>
      <c r="R24" s="24"/>
      <c r="S24" s="24"/>
    </row>
    <row r="25" s="1" customFormat="1" spans="1:19">
      <c r="A25" s="10">
        <v>24</v>
      </c>
      <c r="B25" s="25" t="s">
        <v>329</v>
      </c>
      <c r="C25" s="25" t="s">
        <v>330</v>
      </c>
      <c r="D25" s="26" t="s">
        <v>373</v>
      </c>
      <c r="E25" s="31" t="s">
        <v>374</v>
      </c>
      <c r="F25" s="32" t="s">
        <v>67</v>
      </c>
      <c r="G25" s="32" t="s">
        <v>334</v>
      </c>
      <c r="H25" s="33">
        <f>H24*H21</f>
        <v>0</v>
      </c>
      <c r="I25" s="36"/>
      <c r="J25" s="23"/>
      <c r="K25" s="24"/>
      <c r="L25" s="24"/>
      <c r="M25" s="24"/>
      <c r="N25" s="24"/>
      <c r="O25" s="24"/>
      <c r="P25" s="24"/>
      <c r="Q25" s="24"/>
      <c r="R25" s="24"/>
      <c r="S25" s="24"/>
    </row>
    <row r="26" s="1" customFormat="1" spans="1:19">
      <c r="A26" s="10">
        <v>25</v>
      </c>
      <c r="B26" s="25" t="s">
        <v>329</v>
      </c>
      <c r="C26" s="25" t="s">
        <v>330</v>
      </c>
      <c r="D26" s="26" t="s">
        <v>375</v>
      </c>
      <c r="E26" s="32" t="s">
        <v>376</v>
      </c>
      <c r="F26" s="32" t="s">
        <v>67</v>
      </c>
      <c r="G26" s="32" t="s">
        <v>334</v>
      </c>
      <c r="H26" s="33">
        <f>IFERROR(H5+H7+H9+H11+H14+H16+H18+H20+H23+H25,0)</f>
        <v>0</v>
      </c>
      <c r="I26" s="25"/>
    </row>
    <row r="27" s="1" customFormat="1" spans="1:19">
      <c r="A27" s="10">
        <v>26</v>
      </c>
      <c r="B27" s="19" t="s">
        <v>8</v>
      </c>
      <c r="C27" s="19" t="s">
        <v>330</v>
      </c>
      <c r="D27" s="43" t="s">
        <v>25</v>
      </c>
      <c r="E27" s="44" t="s">
        <v>26</v>
      </c>
      <c r="F27" s="45" t="s">
        <v>11</v>
      </c>
      <c r="G27" s="45" t="s">
        <v>334</v>
      </c>
      <c r="H27" s="46">
        <f>系统属性!F9</f>
        <v>0</v>
      </c>
      <c r="I27" s="25"/>
    </row>
    <row r="28" s="2" customFormat="1" spans="1:19">
      <c r="A28" s="10">
        <v>27</v>
      </c>
      <c r="B28" s="47" t="s">
        <v>329</v>
      </c>
      <c r="C28" s="25" t="s">
        <v>330</v>
      </c>
      <c r="D28" s="47" t="s">
        <v>377</v>
      </c>
      <c r="E28" s="48" t="s">
        <v>378</v>
      </c>
      <c r="F28" s="49" t="s">
        <v>11</v>
      </c>
      <c r="G28" s="49" t="s">
        <v>333</v>
      </c>
      <c r="H28" s="48" t="s">
        <v>379</v>
      </c>
      <c r="I28" s="47"/>
    </row>
    <row r="29" s="2" customFormat="1" outlineLevel="1" spans="1:19">
      <c r="A29" s="10">
        <v>28</v>
      </c>
      <c r="B29" s="19" t="s">
        <v>8</v>
      </c>
      <c r="C29" s="19" t="s">
        <v>330</v>
      </c>
      <c r="D29" s="19" t="s">
        <v>106</v>
      </c>
      <c r="E29" s="20" t="s">
        <v>107</v>
      </c>
      <c r="F29" s="50" t="s">
        <v>67</v>
      </c>
      <c r="G29" s="51" t="s">
        <v>334</v>
      </c>
      <c r="H29" s="48">
        <f>系统属性!F49</f>
        <v>0</v>
      </c>
      <c r="I29" s="47"/>
    </row>
    <row r="30" s="2" customFormat="1" outlineLevel="1" spans="1:19">
      <c r="A30" s="10">
        <v>29</v>
      </c>
      <c r="B30" s="47" t="s">
        <v>329</v>
      </c>
      <c r="C30" s="25" t="s">
        <v>330</v>
      </c>
      <c r="D30" s="47" t="s">
        <v>380</v>
      </c>
      <c r="E30" s="52" t="s">
        <v>381</v>
      </c>
      <c r="F30" s="47" t="s">
        <v>67</v>
      </c>
      <c r="G30" s="53" t="s">
        <v>334</v>
      </c>
      <c r="H30" s="54">
        <f>IF(H28="N",10,1)</f>
        <v>10</v>
      </c>
      <c r="I30" s="47"/>
    </row>
    <row r="31" s="2" customFormat="1" outlineLevel="1" spans="1:19">
      <c r="A31" s="10">
        <v>30</v>
      </c>
      <c r="B31" s="47" t="s">
        <v>329</v>
      </c>
      <c r="C31" s="25" t="s">
        <v>330</v>
      </c>
      <c r="D31" s="47" t="s">
        <v>382</v>
      </c>
      <c r="E31" s="55" t="s">
        <v>383</v>
      </c>
      <c r="F31" s="47" t="s">
        <v>67</v>
      </c>
      <c r="G31" s="53" t="s">
        <v>334</v>
      </c>
      <c r="H31" s="54">
        <f>IF(H28="N",3,2.2)</f>
        <v>3</v>
      </c>
      <c r="I31" s="47"/>
    </row>
    <row r="32" s="2" customFormat="1" outlineLevel="1" collapsed="1" spans="1:19">
      <c r="A32" s="10">
        <v>31</v>
      </c>
      <c r="B32" s="47" t="s">
        <v>329</v>
      </c>
      <c r="C32" s="25" t="s">
        <v>330</v>
      </c>
      <c r="D32" s="47" t="s">
        <v>384</v>
      </c>
      <c r="E32" s="56" t="s">
        <v>385</v>
      </c>
      <c r="F32" s="49" t="s">
        <v>67</v>
      </c>
      <c r="G32" s="57" t="s">
        <v>334</v>
      </c>
      <c r="H32" s="58">
        <f>IFERROR(H29/1000/H30/H31,0)</f>
        <v>0</v>
      </c>
      <c r="I32" s="47"/>
    </row>
    <row r="33" s="2" customFormat="1" outlineLevel="1" spans="1:9">
      <c r="A33" s="10">
        <v>32</v>
      </c>
      <c r="B33" s="47" t="s">
        <v>329</v>
      </c>
      <c r="C33" s="25" t="s">
        <v>330</v>
      </c>
      <c r="D33" s="47" t="s">
        <v>386</v>
      </c>
      <c r="E33" s="59" t="s">
        <v>387</v>
      </c>
      <c r="F33" s="47" t="s">
        <v>67</v>
      </c>
      <c r="G33" s="53" t="s">
        <v>334</v>
      </c>
      <c r="H33" s="54">
        <f>IF(H28="N",2.3,3.1)</f>
        <v>2.3</v>
      </c>
      <c r="I33" s="47"/>
    </row>
    <row r="34" s="2" customFormat="1" spans="1:9">
      <c r="A34" s="10">
        <v>33</v>
      </c>
      <c r="B34" s="47" t="s">
        <v>329</v>
      </c>
      <c r="C34" s="25" t="s">
        <v>330</v>
      </c>
      <c r="D34" s="47" t="s">
        <v>388</v>
      </c>
      <c r="E34" s="56" t="s">
        <v>389</v>
      </c>
      <c r="F34" s="49" t="s">
        <v>67</v>
      </c>
      <c r="G34" s="57" t="s">
        <v>334</v>
      </c>
      <c r="H34" s="58">
        <f>IF(H27="buy",H32*H33,0)</f>
        <v>0</v>
      </c>
      <c r="I34" s="47"/>
    </row>
    <row r="35" s="2" customFormat="1" ht="14.55" customHeight="1" outlineLevel="1" spans="1:9">
      <c r="A35" s="10">
        <v>34</v>
      </c>
      <c r="B35" s="19" t="s">
        <v>8</v>
      </c>
      <c r="C35" s="19" t="s">
        <v>330</v>
      </c>
      <c r="D35" s="19" t="s">
        <v>149</v>
      </c>
      <c r="E35" s="20" t="s">
        <v>150</v>
      </c>
      <c r="F35" s="50" t="s">
        <v>118</v>
      </c>
      <c r="G35" s="51" t="s">
        <v>334</v>
      </c>
      <c r="H35" s="58">
        <f>系统属性!F70</f>
        <v>0</v>
      </c>
      <c r="I35" s="47"/>
    </row>
    <row r="36" s="2" customFormat="1" outlineLevel="1" spans="1:9">
      <c r="A36" s="10">
        <v>35</v>
      </c>
      <c r="B36" s="47" t="s">
        <v>329</v>
      </c>
      <c r="C36" s="25" t="s">
        <v>330</v>
      </c>
      <c r="D36" s="47" t="s">
        <v>390</v>
      </c>
      <c r="E36" s="60" t="s">
        <v>391</v>
      </c>
      <c r="F36" s="47" t="s">
        <v>67</v>
      </c>
      <c r="G36" s="53" t="s">
        <v>334</v>
      </c>
      <c r="H36" s="61">
        <f>1200</f>
        <v>1200</v>
      </c>
      <c r="I36" s="47"/>
    </row>
    <row r="37" s="2" customFormat="1" outlineLevel="1" collapsed="1" spans="1:9">
      <c r="A37" s="10">
        <v>36</v>
      </c>
      <c r="B37" s="47" t="s">
        <v>329</v>
      </c>
      <c r="C37" s="25" t="s">
        <v>330</v>
      </c>
      <c r="D37" s="47" t="s">
        <v>392</v>
      </c>
      <c r="E37" s="49" t="s">
        <v>393</v>
      </c>
      <c r="F37" s="49" t="s">
        <v>67</v>
      </c>
      <c r="G37" s="57" t="s">
        <v>334</v>
      </c>
      <c r="H37" s="58">
        <f>IFERROR(H35/H36/2,0)</f>
        <v>0</v>
      </c>
      <c r="I37" s="47"/>
    </row>
    <row r="38" s="2" customFormat="1" outlineLevel="1" spans="1:9">
      <c r="A38" s="10">
        <v>37</v>
      </c>
      <c r="B38" s="47" t="s">
        <v>329</v>
      </c>
      <c r="C38" s="25" t="s">
        <v>330</v>
      </c>
      <c r="D38" s="47" t="s">
        <v>394</v>
      </c>
      <c r="E38" s="62" t="s">
        <v>395</v>
      </c>
      <c r="F38" s="47" t="s">
        <v>67</v>
      </c>
      <c r="G38" s="53" t="s">
        <v>334</v>
      </c>
      <c r="H38" s="54">
        <f>0.88</f>
        <v>0.88</v>
      </c>
      <c r="I38" s="47"/>
    </row>
    <row r="39" s="2" customFormat="1" outlineLevel="1" spans="1:9">
      <c r="A39" s="10">
        <v>38</v>
      </c>
      <c r="B39" s="47" t="s">
        <v>329</v>
      </c>
      <c r="C39" s="25" t="s">
        <v>330</v>
      </c>
      <c r="D39" s="47" t="s">
        <v>396</v>
      </c>
      <c r="E39" s="63" t="s">
        <v>397</v>
      </c>
      <c r="F39" s="47" t="s">
        <v>67</v>
      </c>
      <c r="G39" s="53" t="s">
        <v>334</v>
      </c>
      <c r="H39" s="54">
        <f>0.85</f>
        <v>0.85</v>
      </c>
      <c r="I39" s="47"/>
    </row>
    <row r="40" s="2" customFormat="1" outlineLevel="1" spans="1:9">
      <c r="A40" s="10">
        <v>39</v>
      </c>
      <c r="B40" s="47" t="s">
        <v>329</v>
      </c>
      <c r="C40" s="25" t="s">
        <v>330</v>
      </c>
      <c r="D40" s="47" t="s">
        <v>398</v>
      </c>
      <c r="E40" s="63" t="s">
        <v>399</v>
      </c>
      <c r="F40" s="47" t="s">
        <v>67</v>
      </c>
      <c r="G40" s="53" t="s">
        <v>334</v>
      </c>
      <c r="H40" s="54">
        <f>0.02</f>
        <v>0.02</v>
      </c>
      <c r="I40" s="47"/>
    </row>
    <row r="41" s="2" customFormat="1" outlineLevel="1" spans="1:9">
      <c r="A41" s="10">
        <v>40</v>
      </c>
      <c r="B41" s="47" t="s">
        <v>329</v>
      </c>
      <c r="C41" s="25" t="s">
        <v>330</v>
      </c>
      <c r="D41" s="47" t="s">
        <v>400</v>
      </c>
      <c r="E41" s="63" t="s">
        <v>401</v>
      </c>
      <c r="F41" s="47" t="s">
        <v>67</v>
      </c>
      <c r="G41" s="53" t="s">
        <v>334</v>
      </c>
      <c r="H41" s="54">
        <f>0.8</f>
        <v>0.8</v>
      </c>
      <c r="I41" s="47"/>
    </row>
    <row r="42" s="2" customFormat="1" outlineLevel="1" collapsed="1" spans="1:9">
      <c r="A42" s="10">
        <v>41</v>
      </c>
      <c r="B42" s="47" t="s">
        <v>329</v>
      </c>
      <c r="C42" s="25" t="s">
        <v>330</v>
      </c>
      <c r="D42" s="47" t="s">
        <v>402</v>
      </c>
      <c r="E42" s="49" t="s">
        <v>403</v>
      </c>
      <c r="F42" s="49" t="s">
        <v>67</v>
      </c>
      <c r="G42" s="57" t="s">
        <v>334</v>
      </c>
      <c r="H42" s="58">
        <f>IF(H27="buy",H37*H38/H39*(1+H40)+H41,0)</f>
        <v>0</v>
      </c>
      <c r="I42" s="47"/>
    </row>
    <row r="43" s="2" customFormat="1" outlineLevel="1" spans="1:9">
      <c r="A43" s="10">
        <v>42</v>
      </c>
      <c r="B43" s="47" t="s">
        <v>329</v>
      </c>
      <c r="C43" s="25" t="s">
        <v>330</v>
      </c>
      <c r="D43" s="47" t="s">
        <v>404</v>
      </c>
      <c r="E43" s="64" t="s">
        <v>405</v>
      </c>
      <c r="F43" s="49" t="s">
        <v>67</v>
      </c>
      <c r="G43" s="57" t="s">
        <v>333</v>
      </c>
      <c r="H43" s="58"/>
      <c r="I43" s="47"/>
    </row>
    <row r="44" s="2" customFormat="1" outlineLevel="1" spans="1:9">
      <c r="A44" s="10">
        <v>43</v>
      </c>
      <c r="B44" s="47" t="s">
        <v>329</v>
      </c>
      <c r="C44" s="25" t="s">
        <v>330</v>
      </c>
      <c r="D44" s="47" t="s">
        <v>406</v>
      </c>
      <c r="E44" s="59" t="s">
        <v>407</v>
      </c>
      <c r="F44" s="47" t="s">
        <v>67</v>
      </c>
      <c r="G44" s="53" t="s">
        <v>334</v>
      </c>
      <c r="H44" s="61">
        <f>0.65</f>
        <v>0.65</v>
      </c>
      <c r="I44" s="47"/>
    </row>
    <row r="45" s="2" customFormat="1" spans="1:9">
      <c r="A45" s="10">
        <v>44</v>
      </c>
      <c r="B45" s="47" t="s">
        <v>329</v>
      </c>
      <c r="C45" s="25" t="s">
        <v>330</v>
      </c>
      <c r="D45" s="47" t="s">
        <v>408</v>
      </c>
      <c r="E45" s="49" t="s">
        <v>409</v>
      </c>
      <c r="F45" s="49" t="s">
        <v>67</v>
      </c>
      <c r="G45" s="57" t="s">
        <v>334</v>
      </c>
      <c r="H45" s="58">
        <f>IFERROR(H43*H44,0)</f>
        <v>0</v>
      </c>
      <c r="I45" s="47"/>
    </row>
    <row r="46" s="2" customFormat="1" outlineLevel="1" spans="1:9">
      <c r="A46" s="10">
        <v>45</v>
      </c>
      <c r="B46" s="47" t="s">
        <v>329</v>
      </c>
      <c r="C46" s="25" t="s">
        <v>330</v>
      </c>
      <c r="D46" s="47" t="s">
        <v>410</v>
      </c>
      <c r="E46" s="64" t="s">
        <v>411</v>
      </c>
      <c r="F46" s="49" t="s">
        <v>67</v>
      </c>
      <c r="G46" s="57" t="s">
        <v>333</v>
      </c>
      <c r="H46" s="48"/>
      <c r="I46" s="47"/>
    </row>
    <row r="47" s="2" customFormat="1" outlineLevel="1" spans="1:9">
      <c r="A47" s="10">
        <v>46</v>
      </c>
      <c r="B47" s="47" t="s">
        <v>329</v>
      </c>
      <c r="C47" s="25" t="s">
        <v>330</v>
      </c>
      <c r="D47" s="47" t="s">
        <v>412</v>
      </c>
      <c r="E47" s="59" t="s">
        <v>413</v>
      </c>
      <c r="F47" s="47" t="s">
        <v>67</v>
      </c>
      <c r="G47" s="53" t="s">
        <v>334</v>
      </c>
      <c r="H47" s="54">
        <f>0.75</f>
        <v>0.75</v>
      </c>
      <c r="I47" s="47"/>
    </row>
    <row r="48" s="2" customFormat="1" outlineLevel="1" spans="1:9">
      <c r="A48" s="10">
        <v>47</v>
      </c>
      <c r="B48" s="47" t="s">
        <v>329</v>
      </c>
      <c r="C48" s="25" t="s">
        <v>330</v>
      </c>
      <c r="D48" s="47" t="s">
        <v>414</v>
      </c>
      <c r="E48" s="64" t="s">
        <v>415</v>
      </c>
      <c r="F48" s="49" t="s">
        <v>67</v>
      </c>
      <c r="G48" s="57" t="s">
        <v>333</v>
      </c>
      <c r="H48" s="48"/>
      <c r="I48" s="47"/>
    </row>
    <row r="49" s="2" customFormat="1" outlineLevel="1" spans="1:9">
      <c r="A49" s="10">
        <v>48</v>
      </c>
      <c r="B49" s="47" t="s">
        <v>329</v>
      </c>
      <c r="C49" s="25" t="s">
        <v>330</v>
      </c>
      <c r="D49" s="47" t="s">
        <v>416</v>
      </c>
      <c r="E49" s="59" t="s">
        <v>417</v>
      </c>
      <c r="F49" s="47" t="s">
        <v>67</v>
      </c>
      <c r="G49" s="53" t="s">
        <v>334</v>
      </c>
      <c r="H49" s="54">
        <f>0.5</f>
        <v>0.5</v>
      </c>
      <c r="I49" s="47"/>
    </row>
    <row r="50" s="2" customFormat="1" spans="1:9">
      <c r="A50" s="10">
        <v>49</v>
      </c>
      <c r="B50" s="47" t="s">
        <v>329</v>
      </c>
      <c r="C50" s="25" t="s">
        <v>330</v>
      </c>
      <c r="D50" s="47" t="s">
        <v>418</v>
      </c>
      <c r="E50" s="49" t="s">
        <v>419</v>
      </c>
      <c r="F50" s="49" t="s">
        <v>67</v>
      </c>
      <c r="G50" s="57" t="s">
        <v>334</v>
      </c>
      <c r="H50" s="58">
        <f>IFERROR(H46*H47+H48*H49,0)</f>
        <v>0</v>
      </c>
      <c r="I50" s="47"/>
    </row>
    <row r="51" s="2" customFormat="1" outlineLevel="1" spans="1:9">
      <c r="A51" s="10">
        <v>50</v>
      </c>
      <c r="B51" s="47" t="s">
        <v>329</v>
      </c>
      <c r="C51" s="25" t="s">
        <v>330</v>
      </c>
      <c r="D51" s="47" t="s">
        <v>420</v>
      </c>
      <c r="E51" s="64" t="s">
        <v>421</v>
      </c>
      <c r="F51" s="49" t="s">
        <v>67</v>
      </c>
      <c r="G51" s="57" t="s">
        <v>333</v>
      </c>
      <c r="H51" s="48"/>
      <c r="I51" s="47"/>
    </row>
    <row r="52" s="2" customFormat="1" outlineLevel="1" spans="1:9">
      <c r="A52" s="10">
        <v>51</v>
      </c>
      <c r="B52" s="47" t="s">
        <v>329</v>
      </c>
      <c r="C52" s="25" t="s">
        <v>330</v>
      </c>
      <c r="D52" s="47" t="s">
        <v>422</v>
      </c>
      <c r="E52" s="59" t="s">
        <v>423</v>
      </c>
      <c r="F52" s="47" t="s">
        <v>67</v>
      </c>
      <c r="G52" s="53" t="s">
        <v>334</v>
      </c>
      <c r="H52" s="54">
        <f>0.6</f>
        <v>0.6</v>
      </c>
      <c r="I52" s="47"/>
    </row>
    <row r="53" s="2" customFormat="1" spans="1:9">
      <c r="A53" s="10">
        <v>52</v>
      </c>
      <c r="B53" s="47" t="s">
        <v>329</v>
      </c>
      <c r="C53" s="25" t="s">
        <v>330</v>
      </c>
      <c r="D53" s="47" t="s">
        <v>424</v>
      </c>
      <c r="E53" s="49" t="s">
        <v>425</v>
      </c>
      <c r="F53" s="49" t="s">
        <v>67</v>
      </c>
      <c r="G53" s="57" t="s">
        <v>334</v>
      </c>
      <c r="H53" s="58">
        <f>IFERROR(H51*H52,0)</f>
        <v>0</v>
      </c>
      <c r="I53" s="47"/>
    </row>
    <row r="54" s="2" customFormat="1" outlineLevel="1" spans="1:9">
      <c r="A54" s="10">
        <v>53</v>
      </c>
      <c r="B54" s="47" t="s">
        <v>329</v>
      </c>
      <c r="C54" s="25" t="s">
        <v>330</v>
      </c>
      <c r="D54" s="47" t="s">
        <v>426</v>
      </c>
      <c r="E54" s="64" t="s">
        <v>427</v>
      </c>
      <c r="F54" s="49" t="s">
        <v>67</v>
      </c>
      <c r="G54" s="57" t="s">
        <v>333</v>
      </c>
      <c r="H54" s="58"/>
      <c r="I54" s="47"/>
    </row>
    <row r="55" s="2" customFormat="1" outlineLevel="1" spans="1:9">
      <c r="A55" s="10">
        <v>54</v>
      </c>
      <c r="B55" s="47" t="s">
        <v>329</v>
      </c>
      <c r="C55" s="25" t="s">
        <v>330</v>
      </c>
      <c r="D55" s="47" t="s">
        <v>428</v>
      </c>
      <c r="E55" s="59" t="s">
        <v>429</v>
      </c>
      <c r="F55" s="47" t="s">
        <v>67</v>
      </c>
      <c r="G55" s="53" t="s">
        <v>334</v>
      </c>
      <c r="H55" s="61">
        <f>0.62</f>
        <v>0.62</v>
      </c>
      <c r="I55" s="47"/>
    </row>
    <row r="56" s="2" customFormat="1" spans="1:9">
      <c r="A56" s="10">
        <v>55</v>
      </c>
      <c r="B56" s="47" t="s">
        <v>329</v>
      </c>
      <c r="C56" s="25" t="s">
        <v>330</v>
      </c>
      <c r="D56" s="47" t="s">
        <v>430</v>
      </c>
      <c r="E56" s="49" t="s">
        <v>431</v>
      </c>
      <c r="F56" s="49" t="s">
        <v>67</v>
      </c>
      <c r="G56" s="57" t="s">
        <v>334</v>
      </c>
      <c r="H56" s="58">
        <f>IFERROR(H54*H55,0)</f>
        <v>0</v>
      </c>
      <c r="I56" s="47"/>
    </row>
    <row r="57" s="2" customFormat="1" outlineLevel="1" spans="1:9">
      <c r="A57" s="10">
        <v>56</v>
      </c>
      <c r="B57" s="47" t="s">
        <v>329</v>
      </c>
      <c r="C57" s="25" t="s">
        <v>330</v>
      </c>
      <c r="D57" s="47" t="s">
        <v>432</v>
      </c>
      <c r="E57" s="64" t="s">
        <v>433</v>
      </c>
      <c r="F57" s="49" t="s">
        <v>67</v>
      </c>
      <c r="G57" s="57" t="s">
        <v>333</v>
      </c>
      <c r="H57" s="48"/>
      <c r="I57" s="47"/>
    </row>
    <row r="58" s="2" customFormat="1" outlineLevel="1" spans="1:9">
      <c r="A58" s="10">
        <v>57</v>
      </c>
      <c r="B58" s="47" t="s">
        <v>329</v>
      </c>
      <c r="C58" s="25" t="s">
        <v>330</v>
      </c>
      <c r="D58" s="47" t="s">
        <v>434</v>
      </c>
      <c r="E58" s="59" t="s">
        <v>435</v>
      </c>
      <c r="F58" s="47" t="s">
        <v>67</v>
      </c>
      <c r="G58" s="53" t="s">
        <v>334</v>
      </c>
      <c r="H58" s="54">
        <f>0.76</f>
        <v>0.76</v>
      </c>
      <c r="I58" s="47"/>
    </row>
    <row r="59" s="2" customFormat="1" spans="1:9">
      <c r="A59" s="10">
        <v>58</v>
      </c>
      <c r="B59" s="47" t="s">
        <v>329</v>
      </c>
      <c r="C59" s="25" t="s">
        <v>330</v>
      </c>
      <c r="D59" s="47" t="s">
        <v>436</v>
      </c>
      <c r="E59" s="49" t="s">
        <v>437</v>
      </c>
      <c r="F59" s="49" t="s">
        <v>67</v>
      </c>
      <c r="G59" s="57" t="s">
        <v>334</v>
      </c>
      <c r="H59" s="58">
        <f>IFERROR(H57*H58,0)</f>
        <v>0</v>
      </c>
      <c r="I59" s="47"/>
    </row>
    <row r="60" s="2" customFormat="1" outlineLevel="1" spans="1:9">
      <c r="A60" s="10">
        <v>59</v>
      </c>
      <c r="B60" s="47" t="s">
        <v>329</v>
      </c>
      <c r="C60" s="25" t="s">
        <v>330</v>
      </c>
      <c r="D60" s="47" t="s">
        <v>438</v>
      </c>
      <c r="E60" s="64" t="s">
        <v>439</v>
      </c>
      <c r="F60" s="49" t="s">
        <v>67</v>
      </c>
      <c r="G60" s="57" t="s">
        <v>333</v>
      </c>
      <c r="H60" s="48"/>
      <c r="I60" s="47"/>
    </row>
    <row r="61" s="2" customFormat="1" outlineLevel="1" spans="1:9">
      <c r="A61" s="10">
        <v>60</v>
      </c>
      <c r="B61" s="47" t="s">
        <v>329</v>
      </c>
      <c r="C61" s="25" t="s">
        <v>330</v>
      </c>
      <c r="D61" s="47" t="s">
        <v>440</v>
      </c>
      <c r="E61" s="59" t="s">
        <v>441</v>
      </c>
      <c r="F61" s="47" t="s">
        <v>67</v>
      </c>
      <c r="G61" s="53" t="s">
        <v>334</v>
      </c>
      <c r="H61" s="54">
        <f>0.77</f>
        <v>0.77</v>
      </c>
      <c r="I61" s="47"/>
    </row>
    <row r="62" s="2" customFormat="1" spans="1:9">
      <c r="A62" s="10">
        <v>61</v>
      </c>
      <c r="B62" s="47" t="s">
        <v>329</v>
      </c>
      <c r="C62" s="25" t="s">
        <v>330</v>
      </c>
      <c r="D62" s="47" t="s">
        <v>442</v>
      </c>
      <c r="E62" s="49" t="s">
        <v>443</v>
      </c>
      <c r="F62" s="49" t="s">
        <v>67</v>
      </c>
      <c r="G62" s="57" t="s">
        <v>334</v>
      </c>
      <c r="H62" s="58">
        <f>IFERROR(H60*H61,0)</f>
        <v>0</v>
      </c>
      <c r="I62" s="47"/>
    </row>
    <row r="63" s="2" customFormat="1" outlineLevel="1" spans="1:9">
      <c r="A63" s="10">
        <v>62</v>
      </c>
      <c r="B63" s="47" t="s">
        <v>329</v>
      </c>
      <c r="C63" s="25" t="s">
        <v>330</v>
      </c>
      <c r="D63" s="47" t="s">
        <v>444</v>
      </c>
      <c r="E63" s="64" t="s">
        <v>445</v>
      </c>
      <c r="F63" s="49" t="s">
        <v>67</v>
      </c>
      <c r="G63" s="57" t="s">
        <v>333</v>
      </c>
      <c r="H63" s="48"/>
      <c r="I63" s="47"/>
    </row>
    <row r="64" s="2" customFormat="1" outlineLevel="1" spans="1:9">
      <c r="A64" s="10">
        <v>63</v>
      </c>
      <c r="B64" s="47" t="s">
        <v>329</v>
      </c>
      <c r="C64" s="25" t="s">
        <v>330</v>
      </c>
      <c r="D64" s="47" t="s">
        <v>446</v>
      </c>
      <c r="E64" s="59" t="s">
        <v>447</v>
      </c>
      <c r="F64" s="47" t="s">
        <v>67</v>
      </c>
      <c r="G64" s="53" t="s">
        <v>334</v>
      </c>
      <c r="H64" s="54">
        <f>0.61</f>
        <v>0.61</v>
      </c>
      <c r="I64" s="47"/>
    </row>
    <row r="65" s="2" customFormat="1" spans="1:9">
      <c r="A65" s="10">
        <v>64</v>
      </c>
      <c r="B65" s="47" t="s">
        <v>329</v>
      </c>
      <c r="C65" s="25" t="s">
        <v>330</v>
      </c>
      <c r="D65" s="47" t="s">
        <v>448</v>
      </c>
      <c r="E65" s="49" t="s">
        <v>449</v>
      </c>
      <c r="F65" s="49" t="s">
        <v>67</v>
      </c>
      <c r="G65" s="57" t="s">
        <v>334</v>
      </c>
      <c r="H65" s="58">
        <f>IFERROR(H63*H64,0)</f>
        <v>0</v>
      </c>
      <c r="I65" s="47"/>
    </row>
    <row r="66" s="2" customFormat="1" outlineLevel="1" spans="1:9">
      <c r="A66" s="10">
        <v>65</v>
      </c>
      <c r="B66" s="47" t="s">
        <v>329</v>
      </c>
      <c r="C66" s="25" t="s">
        <v>330</v>
      </c>
      <c r="D66" s="47" t="s">
        <v>450</v>
      </c>
      <c r="E66" s="64" t="s">
        <v>451</v>
      </c>
      <c r="F66" s="49" t="s">
        <v>67</v>
      </c>
      <c r="G66" s="57" t="s">
        <v>333</v>
      </c>
      <c r="H66" s="48"/>
      <c r="I66" s="47"/>
    </row>
    <row r="67" s="2" customFormat="1" outlineLevel="1" spans="1:9">
      <c r="A67" s="10">
        <v>66</v>
      </c>
      <c r="B67" s="47" t="s">
        <v>329</v>
      </c>
      <c r="C67" s="25" t="s">
        <v>330</v>
      </c>
      <c r="D67" s="47" t="s">
        <v>452</v>
      </c>
      <c r="E67" s="59" t="s">
        <v>453</v>
      </c>
      <c r="F67" s="47" t="s">
        <v>67</v>
      </c>
      <c r="G67" s="53" t="s">
        <v>334</v>
      </c>
      <c r="H67" s="54">
        <f>0.61</f>
        <v>0.61</v>
      </c>
      <c r="I67" s="47"/>
    </row>
    <row r="68" s="2" customFormat="1" spans="1:9">
      <c r="A68" s="10">
        <v>67</v>
      </c>
      <c r="B68" s="47" t="s">
        <v>329</v>
      </c>
      <c r="C68" s="25" t="s">
        <v>330</v>
      </c>
      <c r="D68" s="47" t="s">
        <v>454</v>
      </c>
      <c r="E68" s="49" t="s">
        <v>455</v>
      </c>
      <c r="F68" s="49" t="s">
        <v>67</v>
      </c>
      <c r="G68" s="57" t="s">
        <v>334</v>
      </c>
      <c r="H68" s="58">
        <f>IFERROR(H66*H67,0)</f>
        <v>0</v>
      </c>
      <c r="I68" s="47"/>
    </row>
    <row r="69" s="2" customFormat="1" outlineLevel="1" spans="1:9">
      <c r="A69" s="10">
        <v>68</v>
      </c>
      <c r="B69" s="47" t="s">
        <v>329</v>
      </c>
      <c r="C69" s="25" t="s">
        <v>330</v>
      </c>
      <c r="D69" s="47" t="s">
        <v>456</v>
      </c>
      <c r="E69" s="64" t="s">
        <v>457</v>
      </c>
      <c r="F69" s="49" t="s">
        <v>67</v>
      </c>
      <c r="G69" s="57" t="s">
        <v>333</v>
      </c>
      <c r="H69" s="48"/>
      <c r="I69" s="47"/>
    </row>
    <row r="70" s="2" customFormat="1" outlineLevel="1" spans="1:9">
      <c r="A70" s="10">
        <v>69</v>
      </c>
      <c r="B70" s="47" t="s">
        <v>329</v>
      </c>
      <c r="C70" s="25" t="s">
        <v>330</v>
      </c>
      <c r="D70" s="47" t="s">
        <v>458</v>
      </c>
      <c r="E70" s="59" t="s">
        <v>459</v>
      </c>
      <c r="F70" s="47" t="s">
        <v>67</v>
      </c>
      <c r="G70" s="53" t="s">
        <v>334</v>
      </c>
      <c r="H70" s="54">
        <f>0.66</f>
        <v>0.66</v>
      </c>
      <c r="I70" s="47"/>
    </row>
    <row r="71" s="2" customFormat="1" spans="1:9">
      <c r="A71" s="10">
        <v>70</v>
      </c>
      <c r="B71" s="47" t="s">
        <v>329</v>
      </c>
      <c r="C71" s="25" t="s">
        <v>330</v>
      </c>
      <c r="D71" s="47" t="s">
        <v>460</v>
      </c>
      <c r="E71" s="49" t="s">
        <v>461</v>
      </c>
      <c r="F71" s="49" t="s">
        <v>67</v>
      </c>
      <c r="G71" s="57" t="s">
        <v>334</v>
      </c>
      <c r="H71" s="58">
        <f>IFERROR(H69*H70,0)</f>
        <v>0</v>
      </c>
      <c r="I71" s="47"/>
    </row>
    <row r="72" s="2" customFormat="1" outlineLevel="1" spans="1:9">
      <c r="A72" s="10">
        <v>71</v>
      </c>
      <c r="B72" s="47" t="s">
        <v>329</v>
      </c>
      <c r="C72" s="25" t="s">
        <v>330</v>
      </c>
      <c r="D72" s="47" t="s">
        <v>462</v>
      </c>
      <c r="E72" s="64" t="s">
        <v>463</v>
      </c>
      <c r="F72" s="49" t="s">
        <v>67</v>
      </c>
      <c r="G72" s="57" t="s">
        <v>333</v>
      </c>
      <c r="H72" s="58"/>
      <c r="I72" s="47"/>
    </row>
    <row r="73" s="2" customFormat="1" outlineLevel="1" spans="1:9">
      <c r="A73" s="10">
        <v>72</v>
      </c>
      <c r="B73" s="47" t="s">
        <v>329</v>
      </c>
      <c r="C73" s="25" t="s">
        <v>330</v>
      </c>
      <c r="D73" s="47" t="s">
        <v>464</v>
      </c>
      <c r="E73" s="59" t="s">
        <v>465</v>
      </c>
      <c r="F73" s="47" t="s">
        <v>67</v>
      </c>
      <c r="G73" s="53" t="s">
        <v>334</v>
      </c>
      <c r="H73" s="61">
        <f>0.73</f>
        <v>0.73</v>
      </c>
      <c r="I73" s="47"/>
    </row>
    <row r="74" s="2" customFormat="1" spans="1:9">
      <c r="A74" s="10">
        <v>73</v>
      </c>
      <c r="B74" s="47" t="s">
        <v>329</v>
      </c>
      <c r="C74" s="25" t="s">
        <v>330</v>
      </c>
      <c r="D74" s="47" t="s">
        <v>466</v>
      </c>
      <c r="E74" s="49" t="s">
        <v>467</v>
      </c>
      <c r="F74" s="49" t="s">
        <v>67</v>
      </c>
      <c r="G74" s="57" t="s">
        <v>334</v>
      </c>
      <c r="H74" s="58">
        <f>IFERROR(H72*H73,0)</f>
        <v>0</v>
      </c>
      <c r="I74" s="47"/>
    </row>
    <row r="75" s="2" customFormat="1" spans="1:9">
      <c r="A75" s="10">
        <v>74</v>
      </c>
      <c r="B75" s="47" t="s">
        <v>329</v>
      </c>
      <c r="C75" s="25" t="s">
        <v>330</v>
      </c>
      <c r="D75" s="47" t="s">
        <v>468</v>
      </c>
      <c r="E75" s="47" t="s">
        <v>469</v>
      </c>
      <c r="F75" s="47" t="s">
        <v>67</v>
      </c>
      <c r="G75" s="53" t="s">
        <v>334</v>
      </c>
      <c r="H75" s="65">
        <f>5%</f>
        <v>0.05</v>
      </c>
      <c r="I75" s="47"/>
    </row>
    <row r="76" s="2" customFormat="1" spans="1:9">
      <c r="A76" s="10">
        <v>75</v>
      </c>
      <c r="B76" s="47" t="s">
        <v>329</v>
      </c>
      <c r="C76" s="25" t="s">
        <v>330</v>
      </c>
      <c r="D76" s="47" t="s">
        <v>470</v>
      </c>
      <c r="E76" s="49" t="s">
        <v>471</v>
      </c>
      <c r="F76" s="49" t="s">
        <v>67</v>
      </c>
      <c r="G76" s="57" t="s">
        <v>334</v>
      </c>
      <c r="H76" s="58">
        <f>IFERROR((H34+H42+H45+H50+H53+H56+H59+H62+H65+H68+H71+H74)*H75,0)</f>
        <v>0</v>
      </c>
      <c r="I76" s="47"/>
    </row>
    <row r="77" s="2" customFormat="1" spans="1:9">
      <c r="A77" s="10">
        <v>76</v>
      </c>
      <c r="B77" s="47" t="s">
        <v>329</v>
      </c>
      <c r="C77" s="25" t="s">
        <v>330</v>
      </c>
      <c r="D77" s="47" t="s">
        <v>472</v>
      </c>
      <c r="E77" s="47" t="s">
        <v>473</v>
      </c>
      <c r="F77" s="47" t="s">
        <v>67</v>
      </c>
      <c r="G77" s="53" t="s">
        <v>334</v>
      </c>
      <c r="H77" s="65">
        <f>10%</f>
        <v>0.1</v>
      </c>
      <c r="I77" s="47"/>
    </row>
    <row r="78" s="2" customFormat="1" spans="1:9">
      <c r="A78" s="10">
        <v>77</v>
      </c>
      <c r="B78" s="47" t="s">
        <v>329</v>
      </c>
      <c r="C78" s="25" t="s">
        <v>330</v>
      </c>
      <c r="D78" s="47" t="s">
        <v>474</v>
      </c>
      <c r="E78" s="49" t="s">
        <v>475</v>
      </c>
      <c r="F78" s="49" t="s">
        <v>67</v>
      </c>
      <c r="G78" s="57" t="s">
        <v>334</v>
      </c>
      <c r="H78" s="58">
        <f>IFERROR((H34+H42+H45+H50+H53+H56+H59+H62+H65+H68+H71+H74)*H77,0)</f>
        <v>0</v>
      </c>
      <c r="I78" s="47"/>
    </row>
    <row r="79" s="2" customFormat="1" spans="1:9">
      <c r="A79" s="10">
        <v>78</v>
      </c>
      <c r="B79" s="47" t="s">
        <v>329</v>
      </c>
      <c r="C79" s="25" t="s">
        <v>330</v>
      </c>
      <c r="D79" s="47" t="s">
        <v>476</v>
      </c>
      <c r="E79" s="49" t="s">
        <v>477</v>
      </c>
      <c r="F79" s="49" t="s">
        <v>67</v>
      </c>
      <c r="G79" s="57" t="s">
        <v>334</v>
      </c>
      <c r="H79" s="58">
        <f>IFERROR(H34+H42+H45+H50+H53+H56+H59+H62+H65+H68+H71+H74+H76+H78,0)</f>
        <v>0</v>
      </c>
      <c r="I79" s="47"/>
    </row>
    <row r="80" s="2" customFormat="1" spans="1:9">
      <c r="A80" s="10">
        <v>79</v>
      </c>
      <c r="B80" s="47" t="s">
        <v>329</v>
      </c>
      <c r="C80" s="25" t="s">
        <v>330</v>
      </c>
      <c r="D80" s="47" t="s">
        <v>478</v>
      </c>
      <c r="E80" s="39" t="s">
        <v>479</v>
      </c>
      <c r="F80" s="47" t="s">
        <v>67</v>
      </c>
      <c r="G80" s="53" t="s">
        <v>333</v>
      </c>
      <c r="H80" s="66"/>
      <c r="I80" s="47"/>
    </row>
    <row r="81" s="2" customFormat="1" spans="1:9">
      <c r="A81" s="10">
        <v>80</v>
      </c>
      <c r="B81" s="47" t="s">
        <v>329</v>
      </c>
      <c r="C81" s="25" t="s">
        <v>330</v>
      </c>
      <c r="D81" s="26" t="s">
        <v>480</v>
      </c>
      <c r="E81" s="28" t="s">
        <v>481</v>
      </c>
      <c r="F81" s="57" t="s">
        <v>67</v>
      </c>
      <c r="G81" s="57" t="s">
        <v>334</v>
      </c>
      <c r="H81" s="58">
        <f>H26+H79+H80</f>
        <v>0</v>
      </c>
      <c r="I81" s="47"/>
    </row>
    <row r="82" s="1" customFormat="1" spans="1:9">
      <c r="A82" s="10">
        <v>81</v>
      </c>
      <c r="B82" s="28" t="s">
        <v>482</v>
      </c>
      <c r="C82" s="28" t="s">
        <v>330</v>
      </c>
      <c r="D82" s="28" t="s">
        <v>483</v>
      </c>
      <c r="E82" s="28" t="s">
        <v>484</v>
      </c>
      <c r="F82" s="28" t="s">
        <v>67</v>
      </c>
      <c r="G82" s="28" t="s">
        <v>333</v>
      </c>
      <c r="H82" s="28"/>
      <c r="I82" s="28"/>
    </row>
  </sheetData>
  <conditionalFormatting sqref="D27">
    <cfRule type="duplicateValues" dxfId="0" priority="1"/>
  </conditionalFormatting>
  <conditionalFormatting sqref="D2:D26 D28:D81">
    <cfRule type="duplicateValues" dxfId="0" priority="2"/>
  </conditionalFormatting>
  <dataValidations count="5">
    <dataValidation type="list" allowBlank="1" showInputMessage="1" showErrorMessage="1" sqref="B2 B28 B4:B11 B13:B20 B22:B26 B30:B34 B36:B81">
      <formula1>"成本分析,分析项,零组件,零组件BOM"</formula1>
    </dataValidation>
    <dataValidation type="list" allowBlank="1" showInputMessage="1" showErrorMessage="1" sqref="B3 B12 B27 B29 B35">
      <formula1>"零组件,零组件BOM"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F2:F81">
      <formula1>"字符串,实数,整数"</formula1>
    </dataValidation>
    <dataValidation type="list" allowBlank="1" showInputMessage="1" showErrorMessage="1" sqref="G2:G81">
      <formula1>"输入,公式"</formula1>
    </dataValidation>
  </dataValidation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H30" sqref="H30"/>
    </sheetView>
  </sheetViews>
  <sheetFormatPr defaultColWidth="9" defaultRowHeight="13.8" outlineLevelRow="3" outlineLevelCol="1"/>
  <sheetData>
    <row r="1" spans="1:2">
      <c r="A1" t="s">
        <v>485</v>
      </c>
      <c r="B1" t="s">
        <v>486</v>
      </c>
    </row>
    <row r="2" spans="1:2">
      <c r="A2" t="s">
        <v>487</v>
      </c>
      <c r="B2" t="s">
        <v>487</v>
      </c>
    </row>
    <row r="3" spans="1:2">
      <c r="A3" t="s">
        <v>488</v>
      </c>
      <c r="B3" t="s">
        <v>489</v>
      </c>
    </row>
    <row r="4" spans="1:2">
      <c r="A4" t="s">
        <v>489</v>
      </c>
      <c r="B4" t="s">
        <v>490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系统属性</vt:lpstr>
      <vt:lpstr>CostingLogical</vt:lpstr>
      <vt:lpstr>选项匹配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YAN</dc:creator>
  <cp:lastModifiedBy>喜乐</cp:lastModifiedBy>
  <dcterms:created xsi:type="dcterms:W3CDTF">2015-06-05T18:17:00Z</dcterms:created>
  <dcterms:modified xsi:type="dcterms:W3CDTF">2026-05-06T06:55:49Z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AEDA4A45B5BE44618A15FE285DC39596_13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