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384"/>
  </bookViews>
  <sheets>
    <sheet name="PLM系统ECR状态统计" sheetId="2" r:id="rId1"/>
    <sheet name="ECR变更请求任务状态" sheetId="1" r:id="rId2"/>
    <sheet name="PLM系统ECO状态统计" sheetId="3" r:id="rId3"/>
    <sheet name="ECO执行计划状态" sheetId="4" r:id="rId4"/>
  </sheets>
  <definedNames>
    <definedName name="_xlnm._FilterDatabase" localSheetId="1" hidden="1">ECR变更请求任务状态!$A$1:$S$414</definedName>
  </definedNames>
  <calcPr calcId="144525"/>
</workbook>
</file>

<file path=xl/sharedStrings.xml><?xml version="1.0" encoding="utf-8"?>
<sst xmlns="http://schemas.openxmlformats.org/spreadsheetml/2006/main" count="145" uniqueCount="79">
  <si>
    <t>PLM中在跑ECR状态--数量统计</t>
  </si>
  <si>
    <t>序号</t>
  </si>
  <si>
    <t>项目编号</t>
  </si>
  <si>
    <t>项目名称</t>
  </si>
  <si>
    <t>ECR总数量</t>
  </si>
  <si>
    <t>ECR审批中数量</t>
  </si>
  <si>
    <t>ECR延期数量</t>
  </si>
  <si>
    <t>延期审批比例</t>
  </si>
  <si>
    <t>系统审批流</t>
  </si>
  <si>
    <t>工程会签
【已延期个数】</t>
  </si>
  <si>
    <t>PM会签
【已延期个数】</t>
  </si>
  <si>
    <t>SDT会签
【已延期个数】</t>
  </si>
  <si>
    <t>财务BP签署
【已延期个数】</t>
  </si>
  <si>
    <t>商务确认
【已延期个数】</t>
  </si>
  <si>
    <t>已完成</t>
  </si>
  <si>
    <t>备注</t>
  </si>
  <si>
    <t>审批状态</t>
  </si>
  <si>
    <t>未提交</t>
  </si>
  <si>
    <t>未审批</t>
  </si>
  <si>
    <t>AME未会签</t>
  </si>
  <si>
    <t>AQE未会签</t>
  </si>
  <si>
    <t>costing未会签</t>
  </si>
  <si>
    <t>launch未会签</t>
  </si>
  <si>
    <t>采购未会签</t>
  </si>
  <si>
    <t>物流未会签</t>
  </si>
  <si>
    <t>PLM中已创建的ECR总数（所有状态的ECR）</t>
  </si>
  <si>
    <t>ECR总数量-ECR延期数量-已完成的ECR</t>
  </si>
  <si>
    <t>任意一个审批节点延期就视为延期</t>
  </si>
  <si>
    <t>ECR延期数量/ECR总数量</t>
  </si>
  <si>
    <t>创建ECR＞3天未提交</t>
  </si>
  <si>
    <t>接收到任务＞3天未审批</t>
  </si>
  <si>
    <t>各项目延期审批
ECR数量统计</t>
  </si>
  <si>
    <t>ECR合计</t>
  </si>
  <si>
    <t>各职能延期审批
ECR数量总计</t>
  </si>
  <si>
    <t>名称</t>
  </si>
  <si>
    <t>标题</t>
  </si>
  <si>
    <t>所有者</t>
  </si>
  <si>
    <t>发起日期</t>
  </si>
  <si>
    <t>当前状态</t>
  </si>
  <si>
    <t>会签节点</t>
  </si>
  <si>
    <t>会签状态</t>
  </si>
  <si>
    <t>会签人</t>
  </si>
  <si>
    <t>会签接收时间</t>
  </si>
  <si>
    <t>会签提交时间</t>
  </si>
  <si>
    <t>会签完成时间</t>
  </si>
  <si>
    <t>延期时间</t>
  </si>
  <si>
    <t>项目阶段</t>
  </si>
  <si>
    <t>ECR类型</t>
  </si>
  <si>
    <t>变更来源</t>
  </si>
  <si>
    <t>变更原因</t>
  </si>
  <si>
    <t>PLM中在跑ECO状态--数量统计</t>
  </si>
  <si>
    <t>ECO总数量</t>
  </si>
  <si>
    <t>ECO延期审批数量</t>
  </si>
  <si>
    <t>PM启动ECO
【已延期个数】</t>
  </si>
  <si>
    <t>ECO执行计划反馈
【已延期个数】</t>
  </si>
  <si>
    <t>未启动</t>
  </si>
  <si>
    <t>SDT-整椅经理</t>
  </si>
  <si>
    <t>SDT-财务BP</t>
  </si>
  <si>
    <t>SDT-采购代表</t>
  </si>
  <si>
    <t>SDT-SQD代表</t>
  </si>
  <si>
    <t>SDT-物流代表</t>
  </si>
  <si>
    <t>SDT-AME代表</t>
  </si>
  <si>
    <t>SDT-launch经理</t>
  </si>
  <si>
    <t>SDT-AQE代表/PQL</t>
  </si>
  <si>
    <t>PLM中已创建的ECO总数（所有状态的ECO）</t>
  </si>
  <si>
    <t>任意一个ECO执行计划反馈延期+未启动</t>
  </si>
  <si>
    <t>状态为“工作中”的ECO</t>
  </si>
  <si>
    <t>超出执行计划预计完成时间的</t>
  </si>
  <si>
    <t>状态为“完成”的ECO</t>
  </si>
  <si>
    <t>各项目延期审批
ECO数量统计</t>
  </si>
  <si>
    <t>ECO合计</t>
  </si>
  <si>
    <t>各职能延期审批
ECO数量总计</t>
  </si>
  <si>
    <t>PLM中在跑ECO执行计划状态--数量统计</t>
  </si>
  <si>
    <t>ECO执行计划号</t>
  </si>
  <si>
    <t>ECO号</t>
  </si>
  <si>
    <t>ECO执行计划反馈（项目经理已派发任务）</t>
  </si>
  <si>
    <t>计划完成时间</t>
  </si>
  <si>
    <t>实际完成时间</t>
  </si>
  <si>
    <t>责任人</t>
  </si>
</sst>
</file>

<file path=xl/styles.xml><?xml version="1.0" encoding="utf-8"?>
<styleSheet xmlns="http://schemas.openxmlformats.org/spreadsheetml/2006/main">
  <numFmts count="5">
    <numFmt numFmtId="176" formatCode="_ &quot;￥&quot;* #,##0.00_ ;_ &quot;￥&quot;* \-#,##0.00_ ;_ &quot;￥&quot;* &quot;-&quot;??_ ;_ @_ "/>
    <numFmt numFmtId="177" formatCode="_ * #,##0_ ;_ * \-#,##0_ ;_ * &quot;-&quot;_ ;_ @_ "/>
    <numFmt numFmtId="178" formatCode="_ * #,##0.00_ ;_ * \-#,##0.00_ ;_ * &quot;-&quot;??_ ;_ @_ "/>
    <numFmt numFmtId="179" formatCode="_ &quot;￥&quot;* #,##0_ ;_ &quot;￥&quot;* \-#,##0_ ;_ &quot;￥&quot;* &quot;-&quot;_ ;_ @_ "/>
    <numFmt numFmtId="180" formatCode="0.00_);[Red]\(0.00\)"/>
  </numFmts>
  <fonts count="26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sz val="14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5117038483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Down="1">
      <left/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35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36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7" applyNumberFormat="0" applyFill="0" applyAlignment="0" applyProtection="0">
      <alignment vertical="center"/>
    </xf>
    <xf numFmtId="0" fontId="18" fillId="0" borderId="37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38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39" applyNumberFormat="0" applyAlignment="0" applyProtection="0">
      <alignment vertical="center"/>
    </xf>
    <xf numFmtId="0" fontId="20" fillId="13" borderId="35" applyNumberFormat="0" applyAlignment="0" applyProtection="0">
      <alignment vertical="center"/>
    </xf>
    <xf numFmtId="0" fontId="21" fillId="14" borderId="40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41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0" fontId="1" fillId="0" borderId="1" xfId="11" applyNumberFormat="1" applyFont="1" applyFill="1" applyBorder="1" applyAlignment="1">
      <alignment horizontal="center" vertical="center"/>
    </xf>
    <xf numFmtId="9" fontId="3" fillId="0" borderId="16" xfId="11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10" fontId="3" fillId="3" borderId="20" xfId="11" applyNumberFormat="1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left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9" fontId="1" fillId="0" borderId="1" xfId="11" applyFont="1" applyFill="1" applyBorder="1" applyAlignment="1">
      <alignment horizontal="center" vertical="center"/>
    </xf>
    <xf numFmtId="9" fontId="3" fillId="0" borderId="1" xfId="11" applyFont="1" applyFill="1" applyBorder="1" applyAlignment="1">
      <alignment vertical="center" wrapText="1"/>
    </xf>
    <xf numFmtId="9" fontId="3" fillId="3" borderId="1" xfId="1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183515</xdr:colOff>
      <xdr:row>3</xdr:row>
      <xdr:rowOff>265430</xdr:rowOff>
    </xdr:from>
    <xdr:to>
      <xdr:col>1</xdr:col>
      <xdr:colOff>819785</xdr:colOff>
      <xdr:row>4</xdr:row>
      <xdr:rowOff>16510</xdr:rowOff>
    </xdr:to>
    <xdr:sp>
      <xdr:nvSpPr>
        <xdr:cNvPr id="3" name="矩形 2"/>
        <xdr:cNvSpPr/>
      </xdr:nvSpPr>
      <xdr:spPr>
        <a:xfrm>
          <a:off x="183515" y="1551305"/>
          <a:ext cx="1367790" cy="462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2000">
              <a:solidFill>
                <a:schemeClr val="tx1"/>
              </a:solidFill>
            </a:rPr>
            <a:t>数据</a:t>
          </a:r>
          <a:endParaRPr lang="zh-CN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174625</xdr:colOff>
      <xdr:row>3</xdr:row>
      <xdr:rowOff>65405</xdr:rowOff>
    </xdr:from>
    <xdr:to>
      <xdr:col>3</xdr:col>
      <xdr:colOff>86360</xdr:colOff>
      <xdr:row>3</xdr:row>
      <xdr:rowOff>525780</xdr:rowOff>
    </xdr:to>
    <xdr:sp>
      <xdr:nvSpPr>
        <xdr:cNvPr id="4" name="矩形 3"/>
        <xdr:cNvSpPr/>
      </xdr:nvSpPr>
      <xdr:spPr>
        <a:xfrm>
          <a:off x="2266315" y="1351280"/>
          <a:ext cx="1652905" cy="460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2000">
              <a:solidFill>
                <a:schemeClr val="tx1"/>
              </a:solidFill>
            </a:rPr>
            <a:t>说明</a:t>
          </a:r>
          <a:endParaRPr lang="zh-CN" altLang="en-US" sz="20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183515</xdr:colOff>
      <xdr:row>3</xdr:row>
      <xdr:rowOff>265430</xdr:rowOff>
    </xdr:from>
    <xdr:to>
      <xdr:col>1</xdr:col>
      <xdr:colOff>819785</xdr:colOff>
      <xdr:row>3</xdr:row>
      <xdr:rowOff>265430</xdr:rowOff>
    </xdr:to>
    <xdr:sp>
      <xdr:nvSpPr>
        <xdr:cNvPr id="4" name="矩形 3"/>
        <xdr:cNvSpPr/>
      </xdr:nvSpPr>
      <xdr:spPr>
        <a:xfrm>
          <a:off x="183515" y="1551305"/>
          <a:ext cx="124587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2000">
              <a:solidFill>
                <a:schemeClr val="tx1"/>
              </a:solidFill>
            </a:rPr>
            <a:t>数据</a:t>
          </a:r>
          <a:endParaRPr lang="zh-CN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174625</xdr:colOff>
      <xdr:row>3</xdr:row>
      <xdr:rowOff>65405</xdr:rowOff>
    </xdr:from>
    <xdr:to>
      <xdr:col>3</xdr:col>
      <xdr:colOff>86360</xdr:colOff>
      <xdr:row>3</xdr:row>
      <xdr:rowOff>525780</xdr:rowOff>
    </xdr:to>
    <xdr:sp>
      <xdr:nvSpPr>
        <xdr:cNvPr id="5" name="矩形 4"/>
        <xdr:cNvSpPr/>
      </xdr:nvSpPr>
      <xdr:spPr>
        <a:xfrm>
          <a:off x="2613025" y="1351280"/>
          <a:ext cx="1473835" cy="460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2000">
              <a:solidFill>
                <a:schemeClr val="tx1"/>
              </a:solidFill>
            </a:rPr>
            <a:t>说明</a:t>
          </a:r>
          <a:endParaRPr lang="zh-CN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183515</xdr:colOff>
      <xdr:row>3</xdr:row>
      <xdr:rowOff>265430</xdr:rowOff>
    </xdr:from>
    <xdr:to>
      <xdr:col>1</xdr:col>
      <xdr:colOff>819785</xdr:colOff>
      <xdr:row>4</xdr:row>
      <xdr:rowOff>16510</xdr:rowOff>
    </xdr:to>
    <xdr:sp>
      <xdr:nvSpPr>
        <xdr:cNvPr id="2" name="矩形 1"/>
        <xdr:cNvSpPr/>
      </xdr:nvSpPr>
      <xdr:spPr>
        <a:xfrm>
          <a:off x="183515" y="1551305"/>
          <a:ext cx="1245870" cy="655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2000">
              <a:solidFill>
                <a:schemeClr val="tx1"/>
              </a:solidFill>
            </a:rPr>
            <a:t>数据</a:t>
          </a:r>
          <a:endParaRPr lang="zh-CN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174625</xdr:colOff>
      <xdr:row>3</xdr:row>
      <xdr:rowOff>65405</xdr:rowOff>
    </xdr:from>
    <xdr:to>
      <xdr:col>3</xdr:col>
      <xdr:colOff>86360</xdr:colOff>
      <xdr:row>3</xdr:row>
      <xdr:rowOff>525780</xdr:rowOff>
    </xdr:to>
    <xdr:sp>
      <xdr:nvSpPr>
        <xdr:cNvPr id="3" name="矩形 2"/>
        <xdr:cNvSpPr/>
      </xdr:nvSpPr>
      <xdr:spPr>
        <a:xfrm>
          <a:off x="2613025" y="1351280"/>
          <a:ext cx="1473835" cy="460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2000">
              <a:solidFill>
                <a:schemeClr val="tx1"/>
              </a:solidFill>
            </a:rPr>
            <a:t>说明</a:t>
          </a:r>
          <a:endParaRPr lang="zh-CN" altLang="en-US" sz="20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tabSelected="1" zoomScale="80" zoomScaleNormal="80" workbookViewId="0">
      <selection activeCell="A5" sqref="A5"/>
    </sheetView>
  </sheetViews>
  <sheetFormatPr defaultColWidth="9" defaultRowHeight="24.75" customHeight="1" outlineLevelRow="5"/>
  <cols>
    <col min="1" max="1" width="10.6666666666667" style="13" customWidth="1"/>
    <col min="2" max="2" width="19.8333333333333" style="13" customWidth="1"/>
    <col min="3" max="3" width="25.3888888888889" style="13" customWidth="1"/>
    <col min="4" max="4" width="18.3333333333333" style="13" customWidth="1"/>
    <col min="5" max="5" width="20.6666666666667" style="13" customWidth="1"/>
    <col min="6" max="7" width="18.3333333333333" style="13" customWidth="1"/>
    <col min="8" max="8" width="18.25" style="13" customWidth="1"/>
    <col min="9" max="9" width="11.7407407407407" style="13" customWidth="1"/>
    <col min="10" max="10" width="13.3333333333333" style="13" customWidth="1"/>
    <col min="11" max="11" width="13.8055555555556" style="13" customWidth="1"/>
    <col min="12" max="12" width="13.3240740740741" style="13" customWidth="1"/>
    <col min="13" max="13" width="13.6388888888889" style="13" customWidth="1"/>
    <col min="14" max="14" width="14.1111111111111" style="13" customWidth="1"/>
    <col min="15" max="15" width="13.6666666666667" style="13" customWidth="1"/>
    <col min="16" max="17" width="13.9351851851852" style="13" customWidth="1"/>
    <col min="18" max="18" width="18.3796296296296" style="13" customWidth="1"/>
    <col min="19" max="19" width="19.3888888888889" style="13" customWidth="1"/>
    <col min="20" max="20" width="16.2222222222222" style="13" customWidth="1"/>
    <col min="21" max="21" width="9.44444444444444" style="13" customWidth="1"/>
    <col min="22" max="16384" width="9" style="13"/>
  </cols>
  <sheetData>
    <row r="1" s="13" customFormat="1" customHeight="1" spans="1:2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55"/>
      <c r="U1" s="56"/>
    </row>
    <row r="2" s="13" customFormat="1" ht="42.75" customHeight="1" spans="1:21">
      <c r="A2" s="16" t="s">
        <v>1</v>
      </c>
      <c r="B2" s="17" t="s">
        <v>2</v>
      </c>
      <c r="C2" s="17" t="s">
        <v>3</v>
      </c>
      <c r="D2" s="69" t="s">
        <v>4</v>
      </c>
      <c r="E2" s="69" t="s">
        <v>5</v>
      </c>
      <c r="F2" s="69" t="s">
        <v>6</v>
      </c>
      <c r="G2" s="69" t="s">
        <v>7</v>
      </c>
      <c r="H2" s="21" t="s">
        <v>8</v>
      </c>
      <c r="I2" s="69" t="s">
        <v>9</v>
      </c>
      <c r="J2" s="21"/>
      <c r="K2" s="69" t="s">
        <v>10</v>
      </c>
      <c r="L2" s="69" t="s">
        <v>11</v>
      </c>
      <c r="M2" s="21"/>
      <c r="N2" s="21"/>
      <c r="O2" s="21"/>
      <c r="P2" s="21"/>
      <c r="Q2" s="21"/>
      <c r="R2" s="69" t="s">
        <v>12</v>
      </c>
      <c r="S2" s="69" t="s">
        <v>13</v>
      </c>
      <c r="T2" s="69" t="s">
        <v>14</v>
      </c>
      <c r="U2" s="21" t="s">
        <v>15</v>
      </c>
    </row>
    <row r="3" s="13" customFormat="1" ht="33.75" customHeight="1" spans="1:21">
      <c r="A3" s="21"/>
      <c r="B3" s="21"/>
      <c r="C3" s="22"/>
      <c r="D3" s="21"/>
      <c r="E3" s="21"/>
      <c r="F3" s="21"/>
      <c r="G3" s="21"/>
      <c r="H3" s="21" t="s">
        <v>16</v>
      </c>
      <c r="I3" s="45" t="s">
        <v>17</v>
      </c>
      <c r="J3" s="45" t="s">
        <v>18</v>
      </c>
      <c r="K3" s="45" t="s">
        <v>18</v>
      </c>
      <c r="L3" s="45" t="s">
        <v>19</v>
      </c>
      <c r="M3" s="45" t="s">
        <v>20</v>
      </c>
      <c r="N3" s="45" t="s">
        <v>21</v>
      </c>
      <c r="O3" s="45" t="s">
        <v>22</v>
      </c>
      <c r="P3" s="45" t="s">
        <v>23</v>
      </c>
      <c r="Q3" s="45" t="s">
        <v>24</v>
      </c>
      <c r="R3" s="45" t="s">
        <v>18</v>
      </c>
      <c r="S3" s="45" t="s">
        <v>18</v>
      </c>
      <c r="T3" s="69"/>
      <c r="U3" s="21"/>
    </row>
    <row r="4" s="13" customFormat="1" ht="56" customHeight="1" spans="1:21">
      <c r="A4" s="25"/>
      <c r="B4" s="26"/>
      <c r="C4" s="27"/>
      <c r="D4" s="70" t="s">
        <v>25</v>
      </c>
      <c r="E4" s="70" t="s">
        <v>26</v>
      </c>
      <c r="F4" s="70" t="s">
        <v>27</v>
      </c>
      <c r="G4" s="70" t="s">
        <v>28</v>
      </c>
      <c r="H4" s="70"/>
      <c r="I4" s="70" t="s">
        <v>29</v>
      </c>
      <c r="J4" s="70" t="s">
        <v>30</v>
      </c>
      <c r="K4" s="70" t="s">
        <v>30</v>
      </c>
      <c r="L4" s="70" t="s">
        <v>30</v>
      </c>
      <c r="M4" s="70" t="s">
        <v>30</v>
      </c>
      <c r="N4" s="70" t="s">
        <v>30</v>
      </c>
      <c r="O4" s="70" t="s">
        <v>30</v>
      </c>
      <c r="P4" s="70" t="s">
        <v>30</v>
      </c>
      <c r="Q4" s="70" t="s">
        <v>30</v>
      </c>
      <c r="R4" s="70" t="s">
        <v>30</v>
      </c>
      <c r="S4" s="70" t="s">
        <v>30</v>
      </c>
      <c r="T4" s="69"/>
      <c r="U4" s="69"/>
    </row>
    <row r="5" s="13" customFormat="1" ht="30" customHeight="1" spans="1:21">
      <c r="A5" s="32"/>
      <c r="B5" s="33"/>
      <c r="C5" s="33"/>
      <c r="D5" s="33"/>
      <c r="E5" s="33">
        <f>D5-F5-T5</f>
        <v>0</v>
      </c>
      <c r="F5" s="33"/>
      <c r="G5" s="71" t="e">
        <f>F5/D5</f>
        <v>#DIV/0!</v>
      </c>
      <c r="H5" s="72" t="s">
        <v>31</v>
      </c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74"/>
    </row>
    <row r="6" s="13" customFormat="1" ht="55" customHeight="1" spans="1:21">
      <c r="A6" s="37" t="s">
        <v>32</v>
      </c>
      <c r="B6" s="38"/>
      <c r="C6" s="39"/>
      <c r="D6" s="21">
        <f>SUM(D5:D5)</f>
        <v>0</v>
      </c>
      <c r="E6" s="21">
        <f>D6-F6-T6</f>
        <v>0</v>
      </c>
      <c r="F6" s="21">
        <f>SUM(F5:F5)</f>
        <v>0</v>
      </c>
      <c r="G6" s="73" t="e">
        <f>F6/D6</f>
        <v>#DIV/0!</v>
      </c>
      <c r="H6" s="69" t="s">
        <v>33</v>
      </c>
      <c r="I6" s="21">
        <f>SUM(I5:J5)</f>
        <v>0</v>
      </c>
      <c r="J6" s="21"/>
      <c r="K6" s="21">
        <f t="shared" ref="K6:T6" si="0">SUM(K5:K5)</f>
        <v>0</v>
      </c>
      <c r="L6" s="21">
        <f t="shared" si="0"/>
        <v>0</v>
      </c>
      <c r="M6" s="21">
        <f t="shared" si="0"/>
        <v>0</v>
      </c>
      <c r="N6" s="21">
        <f t="shared" si="0"/>
        <v>0</v>
      </c>
      <c r="O6" s="21">
        <f t="shared" si="0"/>
        <v>0</v>
      </c>
      <c r="P6" s="21">
        <f t="shared" si="0"/>
        <v>0</v>
      </c>
      <c r="Q6" s="21">
        <f t="shared" si="0"/>
        <v>0</v>
      </c>
      <c r="R6" s="21">
        <f t="shared" si="0"/>
        <v>0</v>
      </c>
      <c r="S6" s="21">
        <f t="shared" si="0"/>
        <v>0</v>
      </c>
      <c r="T6" s="21">
        <f t="shared" si="0"/>
        <v>0</v>
      </c>
      <c r="U6" s="75"/>
    </row>
  </sheetData>
  <mergeCells count="15">
    <mergeCell ref="A1:U1"/>
    <mergeCell ref="I2:J2"/>
    <mergeCell ref="L2:Q2"/>
    <mergeCell ref="A4:C4"/>
    <mergeCell ref="A6:C6"/>
    <mergeCell ref="I6:J6"/>
    <mergeCell ref="A2:A3"/>
    <mergeCell ref="B2:B3"/>
    <mergeCell ref="C2:C3"/>
    <mergeCell ref="D2:D3"/>
    <mergeCell ref="E2:E3"/>
    <mergeCell ref="F2:F3"/>
    <mergeCell ref="G2:G3"/>
    <mergeCell ref="T2:T3"/>
    <mergeCell ref="U2:U3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414"/>
  <sheetViews>
    <sheetView zoomScale="80" zoomScaleNormal="80" workbookViewId="0">
      <pane ySplit="1" topLeftCell="A2" activePane="bottomLeft" state="frozen"/>
      <selection/>
      <selection pane="bottomLeft" activeCell="B3" sqref="B3"/>
    </sheetView>
  </sheetViews>
  <sheetFormatPr defaultColWidth="21.6944444444444" defaultRowHeight="20.8" customHeight="1"/>
  <cols>
    <col min="1" max="1" width="10.9814814814815" style="67" customWidth="1"/>
    <col min="2" max="2" width="19.3333333333333" style="67" customWidth="1"/>
    <col min="3" max="3" width="31.3703703703704" style="67" customWidth="1"/>
    <col min="4" max="4" width="20.5185185185185" style="67" customWidth="1"/>
    <col min="5" max="5" width="29.6666666666667" style="67" customWidth="1"/>
    <col min="6" max="6" width="16.9907407407407" style="67" customWidth="1"/>
    <col min="7" max="7" width="61.5555555555556" style="67" customWidth="1"/>
    <col min="8" max="8" width="19.9907407407407" style="67" customWidth="1"/>
    <col min="9" max="9" width="17.1203703703704" style="67" customWidth="1"/>
    <col min="10" max="10" width="30.1944444444444" style="67" customWidth="1"/>
    <col min="11" max="11" width="30.0648148148148" style="67" customWidth="1"/>
    <col min="12" max="12" width="28.75" style="67" customWidth="1"/>
    <col min="13" max="13" width="28.2314814814815" style="67" customWidth="1"/>
    <col min="14" max="14" width="25.6111111111111" style="67" customWidth="1"/>
    <col min="15" max="15" width="28.75" style="67" customWidth="1"/>
    <col min="16" max="18" width="21.6944444444444" style="67" customWidth="1"/>
    <col min="19" max="19" width="38.0277777777778" style="67" customWidth="1"/>
    <col min="20" max="16384" width="21.6944444444444" style="66" customWidth="1"/>
  </cols>
  <sheetData>
    <row r="1" s="65" customFormat="1" ht="27" customHeight="1" spans="1:19">
      <c r="A1" s="2" t="s">
        <v>1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68" t="s">
        <v>45</v>
      </c>
      <c r="N1" s="2" t="s">
        <v>2</v>
      </c>
      <c r="O1" s="2" t="s">
        <v>3</v>
      </c>
      <c r="P1" s="2" t="s">
        <v>46</v>
      </c>
      <c r="Q1" s="2" t="s">
        <v>47</v>
      </c>
      <c r="R1" s="2" t="s">
        <v>48</v>
      </c>
      <c r="S1" s="2" t="s">
        <v>49</v>
      </c>
    </row>
    <row r="2" s="66" customFormat="1" customHeight="1" spans="1:19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="66" customFormat="1" customHeight="1" spans="1:19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</row>
    <row r="4" s="66" customFormat="1" customHeight="1" spans="1:19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</row>
    <row r="5" s="66" customFormat="1" customHeight="1" spans="1:19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</row>
    <row r="6" s="66" customFormat="1" customHeight="1" spans="1:19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</row>
    <row r="7" s="66" customFormat="1" customHeight="1" spans="1:19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</row>
    <row r="8" s="66" customFormat="1" customHeight="1" spans="1:19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</row>
    <row r="9" s="66" customFormat="1" customHeight="1" spans="1:19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</row>
    <row r="10" s="66" customFormat="1" customHeight="1" spans="1:19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s="66" customFormat="1" customHeight="1" spans="1:19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</row>
    <row r="12" s="66" customFormat="1" customHeight="1" spans="1:19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</row>
    <row r="13" s="66" customFormat="1" customHeight="1" spans="1:19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</row>
    <row r="14" s="66" customFormat="1" customHeight="1" spans="1:19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</row>
    <row r="15" s="66" customFormat="1" customHeight="1" spans="1:19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</row>
    <row r="16" s="66" customFormat="1" customHeight="1" spans="1:19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</row>
    <row r="17" s="66" customFormat="1" customHeight="1" spans="1:19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</row>
    <row r="18" s="66" customFormat="1" customHeight="1" spans="1:19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</row>
    <row r="19" s="66" customFormat="1" customHeight="1" spans="1:19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</row>
    <row r="20" s="66" customFormat="1" customHeight="1" spans="1:19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</row>
    <row r="21" s="66" customFormat="1" customHeight="1" spans="1:19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</row>
    <row r="22" s="66" customFormat="1" customHeight="1" spans="1:19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</row>
    <row r="23" s="66" customFormat="1" customHeight="1" spans="1:19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</row>
    <row r="24" s="66" customFormat="1" customHeight="1" spans="1:19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</row>
    <row r="25" s="66" customFormat="1" customHeight="1" spans="1:19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</row>
    <row r="26" s="66" customFormat="1" customHeight="1" spans="1:19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</row>
    <row r="27" s="66" customFormat="1" customHeight="1" spans="1:19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</row>
    <row r="28" s="66" customFormat="1" customHeight="1" spans="1:19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</row>
    <row r="29" s="66" customFormat="1" customHeight="1" spans="1:19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</row>
    <row r="30" s="66" customFormat="1" customHeight="1" spans="1:19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</row>
    <row r="31" s="66" customFormat="1" customHeight="1" spans="1:19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</row>
    <row r="32" s="66" customFormat="1" customHeight="1" spans="1:19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</row>
    <row r="33" s="66" customFormat="1" customHeight="1" spans="1:19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</row>
    <row r="34" s="66" customFormat="1" customHeight="1" spans="1:19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</row>
    <row r="35" s="66" customFormat="1" customHeight="1" spans="1:19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</row>
    <row r="36" s="66" customFormat="1" customHeight="1" spans="1:19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</row>
    <row r="37" s="66" customFormat="1" customHeight="1" spans="1:19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</row>
    <row r="38" s="66" customFormat="1" customHeight="1" spans="1:19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</row>
    <row r="39" s="66" customFormat="1" customHeight="1" spans="1:19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</row>
    <row r="40" s="66" customFormat="1" customHeight="1" spans="1:19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</row>
    <row r="41" s="66" customFormat="1" customHeight="1" spans="1:19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</row>
    <row r="42" s="66" customFormat="1" customHeight="1" spans="1:19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</row>
    <row r="43" s="66" customFormat="1" customHeight="1" spans="1:19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</row>
    <row r="44" s="66" customFormat="1" customHeight="1" spans="1:19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</row>
    <row r="45" s="66" customFormat="1" customHeight="1" spans="1:19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</row>
    <row r="46" s="66" customFormat="1" customHeight="1" spans="1:19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</row>
    <row r="47" s="66" customFormat="1" customHeight="1" spans="1:19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</row>
    <row r="48" s="66" customFormat="1" customHeight="1" spans="1:19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</row>
    <row r="49" s="66" customFormat="1" customHeight="1" spans="1:19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</row>
    <row r="50" s="66" customFormat="1" customHeight="1" spans="1:19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</row>
    <row r="51" s="66" customFormat="1" customHeight="1" spans="1:19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</row>
    <row r="52" s="66" customFormat="1" customHeight="1" spans="1:19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</row>
    <row r="53" s="66" customFormat="1" customHeight="1" spans="1:19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</row>
    <row r="54" s="66" customFormat="1" customHeight="1" spans="1:19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</row>
    <row r="55" s="66" customFormat="1" customHeight="1" spans="1:19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</row>
    <row r="56" s="66" customFormat="1" customHeight="1" spans="1:19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</row>
    <row r="57" s="66" customFormat="1" customHeight="1" spans="1:19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</row>
    <row r="58" s="66" customFormat="1" customHeight="1" spans="1:19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</row>
    <row r="59" s="66" customFormat="1" customHeight="1" spans="1:19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</row>
    <row r="60" s="66" customFormat="1" customHeight="1" spans="1:19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</row>
    <row r="61" s="66" customFormat="1" customHeight="1" spans="1:19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</row>
    <row r="62" s="66" customFormat="1" customHeight="1" spans="1:19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</row>
    <row r="63" s="66" customFormat="1" customHeight="1" spans="1:19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</row>
    <row r="64" s="66" customFormat="1" customHeight="1" spans="1:19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</row>
    <row r="65" s="66" customFormat="1" customHeight="1" spans="1:19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</row>
    <row r="66" s="66" customFormat="1" customHeight="1" spans="1:19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</row>
    <row r="67" s="66" customFormat="1" customHeight="1" spans="1:19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</row>
    <row r="68" s="66" customFormat="1" customHeight="1" spans="1:19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</row>
    <row r="69" s="66" customFormat="1" customHeight="1" spans="1:19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</row>
    <row r="70" s="66" customFormat="1" customHeight="1" spans="1:19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</row>
    <row r="71" s="66" customFormat="1" customHeight="1" spans="1:19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</row>
    <row r="72" s="66" customFormat="1" customHeight="1" spans="1:19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</row>
    <row r="73" s="66" customFormat="1" customHeight="1" spans="1:19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</row>
    <row r="74" s="66" customFormat="1" customHeight="1" spans="1:19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</row>
    <row r="75" s="66" customFormat="1" customHeight="1" spans="1:19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</row>
    <row r="76" s="66" customFormat="1" customHeight="1" spans="1:19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</row>
    <row r="77" s="66" customFormat="1" customHeight="1" spans="1:19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</row>
    <row r="78" s="66" customFormat="1" customHeight="1" spans="1:19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</row>
    <row r="79" s="66" customFormat="1" customHeight="1" spans="1:19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</row>
    <row r="80" s="66" customFormat="1" customHeight="1" spans="1:19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</row>
    <row r="81" s="66" customFormat="1" customHeight="1" spans="1:19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</row>
    <row r="82" s="66" customFormat="1" customHeight="1" spans="1:19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</row>
    <row r="83" s="66" customFormat="1" customHeight="1" spans="1:19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</row>
    <row r="84" s="66" customFormat="1" customHeight="1" spans="1:19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</row>
    <row r="85" s="66" customFormat="1" customHeight="1" spans="1:19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</row>
    <row r="86" s="66" customFormat="1" customHeight="1" spans="1:19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</row>
    <row r="87" s="66" customFormat="1" customHeight="1" spans="1:19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</row>
    <row r="88" s="66" customFormat="1" customHeight="1" spans="1:19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</row>
    <row r="89" s="66" customFormat="1" customHeight="1" spans="1:19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</row>
    <row r="90" s="66" customFormat="1" customHeight="1" spans="1:19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</row>
    <row r="91" s="66" customFormat="1" customHeight="1" spans="1:19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</row>
    <row r="92" s="66" customFormat="1" customHeight="1" spans="1:19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</row>
    <row r="93" s="66" customFormat="1" customHeight="1" spans="1:19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</row>
    <row r="94" s="66" customFormat="1" customHeight="1" spans="1:19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</row>
    <row r="95" s="66" customFormat="1" customHeight="1" spans="1:19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</row>
    <row r="96" s="66" customFormat="1" customHeight="1" spans="1:19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</row>
    <row r="97" s="66" customFormat="1" customHeight="1" spans="1:19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</row>
    <row r="98" s="66" customFormat="1" customHeight="1" spans="1:19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</row>
    <row r="99" s="66" customFormat="1" customHeight="1" spans="1:19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</row>
    <row r="100" s="66" customFormat="1" customHeight="1" spans="1:19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</row>
    <row r="101" s="66" customFormat="1" customHeight="1" spans="1:19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</row>
    <row r="102" s="66" customFormat="1" customHeight="1" spans="1:19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</row>
    <row r="103" s="66" customFormat="1" customHeight="1" spans="1:19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</row>
    <row r="104" s="66" customFormat="1" customHeight="1" spans="1:19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</row>
    <row r="105" s="66" customFormat="1" customHeight="1" spans="1:19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</row>
    <row r="106" s="66" customFormat="1" customHeight="1" spans="1:19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</row>
    <row r="107" s="66" customFormat="1" customHeight="1" spans="1:19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</row>
    <row r="108" s="66" customFormat="1" customHeight="1" spans="1:19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</row>
    <row r="109" s="66" customFormat="1" customHeight="1" spans="1:19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</row>
    <row r="110" s="66" customFormat="1" customHeight="1" spans="1:19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</row>
    <row r="111" s="66" customFormat="1" customHeight="1" spans="1:19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</row>
    <row r="112" s="66" customFormat="1" customHeight="1" spans="1:19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</row>
    <row r="113" s="66" customFormat="1" customHeight="1" spans="1:19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</row>
    <row r="114" s="66" customFormat="1" customHeight="1" spans="1:19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</row>
    <row r="115" s="66" customFormat="1" customHeight="1" spans="1:19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</row>
    <row r="116" s="66" customFormat="1" customHeight="1" spans="1:19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</row>
    <row r="117" s="66" customFormat="1" customHeight="1" spans="1:19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</row>
    <row r="118" s="66" customFormat="1" customHeight="1" spans="1:19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</row>
    <row r="119" s="66" customFormat="1" customHeight="1" spans="1:19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</row>
    <row r="120" s="66" customFormat="1" customHeight="1" spans="1:19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</row>
    <row r="121" s="66" customFormat="1" customHeight="1" spans="1:19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</row>
    <row r="122" s="66" customFormat="1" customHeight="1" spans="1:19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</row>
    <row r="123" s="66" customFormat="1" customHeight="1" spans="1:19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</row>
    <row r="124" s="66" customFormat="1" customHeight="1" spans="1:19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</row>
    <row r="125" s="66" customFormat="1" customHeight="1" spans="1:19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</row>
    <row r="126" s="66" customFormat="1" customHeight="1" spans="1:19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</row>
    <row r="127" s="66" customFormat="1" customHeight="1" spans="1:19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</row>
    <row r="128" s="66" customFormat="1" customHeight="1" spans="1:19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</row>
    <row r="129" s="66" customFormat="1" customHeight="1" spans="1:19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</row>
    <row r="130" s="66" customFormat="1" customHeight="1" spans="1:19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</row>
    <row r="131" s="66" customFormat="1" customHeight="1" spans="1:19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</row>
    <row r="132" s="66" customFormat="1" customHeight="1" spans="1:19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</row>
    <row r="133" s="66" customFormat="1" customHeight="1" spans="1:19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</row>
    <row r="134" s="66" customFormat="1" customHeight="1" spans="1:19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</row>
    <row r="135" s="66" customFormat="1" customHeight="1" spans="1:19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</row>
    <row r="136" s="66" customFormat="1" customHeight="1" spans="1:19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</row>
    <row r="137" s="66" customFormat="1" customHeight="1" spans="1:19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</row>
    <row r="138" s="66" customFormat="1" customHeight="1" spans="1:19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</row>
    <row r="139" s="66" customFormat="1" customHeight="1" spans="1:19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</row>
    <row r="140" s="66" customFormat="1" customHeight="1" spans="1:19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</row>
    <row r="141" s="66" customFormat="1" customHeight="1" spans="1:19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</row>
    <row r="142" s="66" customFormat="1" customHeight="1" spans="1:19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</row>
    <row r="143" s="66" customFormat="1" customHeight="1" spans="1:19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</row>
    <row r="144" s="66" customFormat="1" customHeight="1" spans="1:19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</row>
    <row r="145" s="66" customFormat="1" customHeight="1" spans="1:19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</row>
    <row r="146" s="66" customFormat="1" customHeight="1" spans="1:19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</row>
    <row r="147" s="66" customFormat="1" customHeight="1" spans="1:19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</row>
    <row r="148" s="66" customFormat="1" customHeight="1" spans="1:19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</row>
    <row r="149" s="66" customFormat="1" customHeight="1" spans="1:1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</row>
    <row r="150" s="66" customFormat="1" customHeight="1" spans="1:19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</row>
    <row r="151" s="66" customFormat="1" customHeight="1" spans="1:19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</row>
    <row r="152" s="66" customFormat="1" customHeight="1" spans="1:19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</row>
    <row r="153" s="66" customFormat="1" customHeight="1" spans="1:19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</row>
    <row r="154" s="66" customFormat="1" customHeight="1" spans="1:19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</row>
    <row r="155" s="66" customFormat="1" customHeight="1" spans="1:19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</row>
    <row r="156" s="66" customFormat="1" customHeight="1" spans="1:19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</row>
    <row r="157" s="66" customFormat="1" customHeight="1" spans="1:19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</row>
    <row r="158" s="66" customFormat="1" customHeight="1" spans="1:19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</row>
    <row r="159" s="66" customFormat="1" customHeight="1" spans="1:1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</row>
    <row r="160" s="66" customFormat="1" customHeight="1" spans="1:19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</row>
    <row r="161" s="66" customFormat="1" customHeight="1" spans="1:19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</row>
    <row r="162" s="66" customFormat="1" customHeight="1" spans="1:19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</row>
    <row r="163" s="66" customFormat="1" customHeight="1" spans="1:19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</row>
    <row r="164" s="66" customFormat="1" customHeight="1" spans="1:19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</row>
    <row r="165" s="66" customFormat="1" customHeight="1" spans="1:19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</row>
    <row r="166" s="66" customFormat="1" customHeight="1" spans="1:19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</row>
    <row r="167" s="66" customFormat="1" customHeight="1" spans="1:19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</row>
    <row r="168" s="66" customFormat="1" customHeight="1" spans="1:19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</row>
    <row r="169" s="66" customFormat="1" customHeight="1" spans="1:1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</row>
    <row r="170" s="66" customFormat="1" customHeight="1" spans="1:19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</row>
    <row r="171" s="66" customFormat="1" customHeight="1" spans="1:19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</row>
    <row r="172" s="66" customFormat="1" customHeight="1" spans="1:19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</row>
    <row r="173" s="66" customFormat="1" customHeight="1" spans="1:19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</row>
    <row r="174" s="66" customFormat="1" customHeight="1" spans="1:19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</row>
    <row r="175" s="66" customFormat="1" customHeight="1" spans="1:19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</row>
    <row r="176" s="66" customFormat="1" customHeight="1" spans="1:19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</row>
    <row r="177" s="66" customFormat="1" customHeight="1" spans="1:19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</row>
    <row r="178" s="66" customFormat="1" customHeight="1" spans="1:19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</row>
    <row r="179" s="66" customFormat="1" customHeight="1" spans="1:1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</row>
    <row r="180" s="66" customFormat="1" customHeight="1" spans="1:19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</row>
    <row r="181" s="66" customFormat="1" customHeight="1" spans="1:19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</row>
    <row r="182" s="66" customFormat="1" customHeight="1" spans="1:19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</row>
    <row r="183" s="66" customFormat="1" customHeight="1" spans="1:19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</row>
    <row r="184" s="66" customFormat="1" customHeight="1" spans="1:19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</row>
    <row r="185" s="66" customFormat="1" customHeight="1" spans="1:19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</row>
    <row r="186" s="66" customFormat="1" customHeight="1" spans="1:19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</row>
    <row r="187" s="66" customFormat="1" customHeight="1" spans="1:19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</row>
    <row r="188" s="66" customFormat="1" customHeight="1" spans="1:19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</row>
    <row r="189" s="66" customFormat="1" customHeight="1" spans="1:1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</row>
    <row r="190" s="66" customFormat="1" customHeight="1" spans="1:19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</row>
    <row r="191" s="66" customFormat="1" customHeight="1" spans="1:19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</row>
    <row r="192" s="66" customFormat="1" customHeight="1" spans="1:19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</row>
    <row r="193" s="66" customFormat="1" customHeight="1" spans="1:19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</row>
    <row r="194" s="66" customFormat="1" customHeight="1" spans="1:19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</row>
    <row r="195" s="66" customFormat="1" customHeight="1" spans="1:19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</row>
    <row r="196" s="66" customFormat="1" customHeight="1" spans="1:19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</row>
    <row r="197" s="66" customFormat="1" customHeight="1" spans="1:19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</row>
    <row r="198" s="66" customFormat="1" customHeight="1" spans="1:19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</row>
    <row r="199" s="66" customFormat="1" customHeight="1" spans="1:1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</row>
    <row r="200" s="66" customFormat="1" customHeight="1" spans="1:19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</row>
    <row r="201" s="66" customFormat="1" customHeight="1" spans="1:19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</row>
    <row r="202" s="66" customFormat="1" customHeight="1" spans="1:19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</row>
    <row r="203" s="66" customFormat="1" customHeight="1" spans="1:19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</row>
    <row r="204" s="66" customFormat="1" customHeight="1" spans="1:19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</row>
    <row r="205" s="66" customFormat="1" customHeight="1" spans="1:19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</row>
    <row r="206" s="66" customFormat="1" customHeight="1" spans="1:19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</row>
    <row r="207" s="66" customFormat="1" customHeight="1" spans="1:19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</row>
    <row r="208" s="66" customFormat="1" customHeight="1" spans="1:19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</row>
    <row r="209" s="66" customFormat="1" customHeight="1" spans="1:1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</row>
    <row r="210" s="66" customFormat="1" customHeight="1" spans="1:19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</row>
    <row r="211" s="66" customFormat="1" customHeight="1" spans="1:19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</row>
    <row r="212" s="66" customFormat="1" customHeight="1" spans="1:19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</row>
    <row r="213" s="66" customFormat="1" customHeight="1" spans="1:19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</row>
    <row r="214" s="66" customFormat="1" customHeight="1" spans="1:19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</row>
    <row r="215" s="66" customFormat="1" customHeight="1" spans="1:19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</row>
    <row r="216" s="66" customFormat="1" customHeight="1" spans="1:19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</row>
    <row r="217" s="66" customFormat="1" customHeight="1" spans="1:19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</row>
    <row r="218" s="66" customFormat="1" customHeight="1" spans="1:19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</row>
    <row r="219" s="66" customFormat="1" customHeight="1" spans="1: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</row>
    <row r="220" s="66" customFormat="1" customHeight="1" spans="1:19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</row>
    <row r="221" s="66" customFormat="1" customHeight="1" spans="1:19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</row>
    <row r="222" s="66" customFormat="1" customHeight="1" spans="1:19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</row>
    <row r="223" s="66" customFormat="1" customHeight="1" spans="1:19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</row>
    <row r="224" s="66" customFormat="1" customHeight="1" spans="1:19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</row>
    <row r="225" s="66" customFormat="1" customHeight="1" spans="1:19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</row>
    <row r="226" s="66" customFormat="1" customHeight="1" spans="1:19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</row>
    <row r="227" s="66" customFormat="1" customHeight="1" spans="1:19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</row>
    <row r="228" s="66" customFormat="1" customHeight="1" spans="1:19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</row>
    <row r="229" s="66" customFormat="1" customHeight="1" spans="1:1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</row>
    <row r="230" s="66" customFormat="1" customHeight="1" spans="1:19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</row>
    <row r="231" s="66" customFormat="1" customHeight="1" spans="1:19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</row>
    <row r="232" s="66" customFormat="1" customHeight="1" spans="1:19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</row>
    <row r="233" s="66" customFormat="1" customHeight="1" spans="1:19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</row>
    <row r="234" s="66" customFormat="1" customHeight="1" spans="1:19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</row>
    <row r="235" s="66" customFormat="1" customHeight="1" spans="1:19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</row>
    <row r="236" s="66" customFormat="1" customHeight="1" spans="1:19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</row>
    <row r="237" s="66" customFormat="1" customHeight="1" spans="1:19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</row>
    <row r="238" s="66" customFormat="1" customHeight="1" spans="1:19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</row>
    <row r="239" s="66" customFormat="1" customHeight="1" spans="1:1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</row>
    <row r="240" s="66" customFormat="1" customHeight="1" spans="1:19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</row>
    <row r="241" s="66" customFormat="1" customHeight="1" spans="1:19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</row>
    <row r="242" s="66" customFormat="1" customHeight="1" spans="1:19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</row>
    <row r="243" s="66" customFormat="1" customHeight="1" spans="1:19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</row>
    <row r="244" s="66" customFormat="1" customHeight="1" spans="1:19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</row>
    <row r="245" s="66" customFormat="1" customHeight="1" spans="1:19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</row>
    <row r="246" s="66" customFormat="1" customHeight="1" spans="1:19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</row>
    <row r="247" s="66" customFormat="1" customHeight="1" spans="1:19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</row>
    <row r="248" s="66" customFormat="1" customHeight="1" spans="1:19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</row>
    <row r="249" s="66" customFormat="1" customHeight="1" spans="1:1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</row>
    <row r="250" s="66" customFormat="1" customHeight="1" spans="1:19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</row>
    <row r="251" s="66" customFormat="1" customHeight="1" spans="1:19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</row>
    <row r="252" s="66" customFormat="1" customHeight="1" spans="1:19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</row>
    <row r="253" s="66" customFormat="1" customHeight="1" spans="1:19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</row>
    <row r="254" s="66" customFormat="1" customHeight="1" spans="1:19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</row>
    <row r="255" s="66" customFormat="1" customHeight="1" spans="1:19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</row>
    <row r="256" s="66" customFormat="1" customHeight="1" spans="1:19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</row>
    <row r="257" s="66" customFormat="1" customHeight="1" spans="1:19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</row>
    <row r="258" s="66" customFormat="1" customHeight="1" spans="1:19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</row>
    <row r="259" s="66" customFormat="1" customHeight="1" spans="1:1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</row>
    <row r="260" s="66" customFormat="1" customHeight="1" spans="1:19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</row>
    <row r="261" s="66" customFormat="1" customHeight="1" spans="1:19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</row>
    <row r="262" s="66" customFormat="1" customHeight="1" spans="1:19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</row>
    <row r="263" s="66" customFormat="1" customHeight="1" spans="1:19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</row>
    <row r="264" s="66" customFormat="1" customHeight="1" spans="1:19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</row>
    <row r="265" s="66" customFormat="1" customHeight="1" spans="1:19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</row>
    <row r="266" s="66" customFormat="1" customHeight="1" spans="1:19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</row>
    <row r="267" s="66" customFormat="1" customHeight="1" spans="1:19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</row>
    <row r="268" s="66" customFormat="1" customHeight="1" spans="1:19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</row>
    <row r="269" s="66" customFormat="1" customHeight="1" spans="1:1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</row>
    <row r="270" s="66" customFormat="1" customHeight="1" spans="1:19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</row>
    <row r="271" s="66" customFormat="1" customHeight="1" spans="1:19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</row>
    <row r="272" s="66" customFormat="1" customHeight="1" spans="1:19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</row>
    <row r="273" s="66" customFormat="1" customHeight="1" spans="1:19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</row>
    <row r="274" s="66" customFormat="1" customHeight="1" spans="1:19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</row>
    <row r="275" s="66" customFormat="1" customHeight="1" spans="1:19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</row>
    <row r="276" s="66" customFormat="1" customHeight="1" spans="1:19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</row>
    <row r="277" s="66" customFormat="1" customHeight="1" spans="1:19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</row>
    <row r="278" s="66" customFormat="1" customHeight="1" spans="1:19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</row>
    <row r="279" s="66" customFormat="1" customHeight="1" spans="1:1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</row>
    <row r="280" s="66" customFormat="1" customHeight="1" spans="1:19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</row>
    <row r="281" s="66" customFormat="1" customHeight="1" spans="1:19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</row>
    <row r="282" s="66" customFormat="1" customHeight="1" spans="1:19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</row>
    <row r="283" s="66" customFormat="1" customHeight="1" spans="1:19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</row>
    <row r="284" s="66" customFormat="1" customHeight="1" spans="1:19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</row>
    <row r="285" s="66" customFormat="1" customHeight="1" spans="1:19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</row>
    <row r="286" s="66" customFormat="1" customHeight="1" spans="1:19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</row>
    <row r="287" s="66" customFormat="1" customHeight="1" spans="1:19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</row>
    <row r="288" s="66" customFormat="1" customHeight="1" spans="1:19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</row>
    <row r="289" s="66" customFormat="1" customHeight="1" spans="1:1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</row>
    <row r="290" s="66" customFormat="1" customHeight="1" spans="1:19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</row>
    <row r="291" s="66" customFormat="1" customHeight="1" spans="1:19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</row>
    <row r="292" s="66" customFormat="1" customHeight="1" spans="1:19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</row>
    <row r="293" s="66" customFormat="1" customHeight="1" spans="1:19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</row>
    <row r="294" s="66" customFormat="1" customHeight="1" spans="1:19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</row>
    <row r="295" s="66" customFormat="1" customHeight="1" spans="1:19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</row>
    <row r="296" s="66" customFormat="1" customHeight="1" spans="1:19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</row>
    <row r="297" s="66" customFormat="1" customHeight="1" spans="1:19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</row>
    <row r="298" s="66" customFormat="1" customHeight="1" spans="1:19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</row>
    <row r="299" s="66" customFormat="1" customHeight="1" spans="1:1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</row>
    <row r="300" s="66" customFormat="1" customHeight="1" spans="1:19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</row>
    <row r="301" s="66" customFormat="1" customHeight="1" spans="1:19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</row>
    <row r="302" s="66" customFormat="1" customHeight="1" spans="1:19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</row>
    <row r="303" s="66" customFormat="1" customHeight="1" spans="1:19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</row>
    <row r="304" s="66" customFormat="1" customHeight="1" spans="1:19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</row>
    <row r="305" s="66" customFormat="1" customHeight="1" spans="1:19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</row>
    <row r="306" s="66" customFormat="1" customHeight="1" spans="1:19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</row>
    <row r="307" s="66" customFormat="1" customHeight="1" spans="1:19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</row>
    <row r="308" s="66" customFormat="1" customHeight="1" spans="1:19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</row>
    <row r="309" s="66" customFormat="1" customHeight="1" spans="1:1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</row>
    <row r="310" s="66" customFormat="1" customHeight="1" spans="1:19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</row>
    <row r="311" s="66" customFormat="1" customHeight="1" spans="1:19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</row>
    <row r="312" s="66" customFormat="1" customHeight="1" spans="1:19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</row>
    <row r="313" s="66" customFormat="1" customHeight="1" spans="1:19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</row>
    <row r="314" s="66" customFormat="1" customHeight="1" spans="1:19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</row>
    <row r="315" s="66" customFormat="1" customHeight="1" spans="1:19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</row>
    <row r="316" s="66" customFormat="1" customHeight="1" spans="1:19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</row>
    <row r="317" s="66" customFormat="1" customHeight="1" spans="1:19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</row>
    <row r="318" s="66" customFormat="1" customHeight="1" spans="1:19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</row>
    <row r="319" s="66" customFormat="1" customHeight="1" spans="1: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</row>
    <row r="320" s="66" customFormat="1" customHeight="1" spans="1:19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</row>
    <row r="321" s="66" customFormat="1" customHeight="1" spans="1:19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</row>
    <row r="322" s="66" customFormat="1" customHeight="1" spans="1:19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</row>
    <row r="323" s="66" customFormat="1" customHeight="1" spans="1:19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</row>
    <row r="324" s="66" customFormat="1" customHeight="1" spans="1:19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</row>
    <row r="325" s="66" customFormat="1" customHeight="1" spans="1:19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</row>
    <row r="326" s="66" customFormat="1" customHeight="1" spans="1:19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</row>
    <row r="327" s="66" customFormat="1" customHeight="1" spans="1:19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</row>
    <row r="328" s="66" customFormat="1" customHeight="1" spans="1:19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</row>
    <row r="329" s="66" customFormat="1" customHeight="1" spans="1:1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</row>
    <row r="330" s="66" customFormat="1" customHeight="1" spans="1:19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</row>
    <row r="331" s="66" customFormat="1" customHeight="1" spans="1:19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</row>
    <row r="332" s="66" customFormat="1" customHeight="1" spans="1:19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</row>
    <row r="333" s="66" customFormat="1" customHeight="1" spans="1:19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</row>
    <row r="334" s="66" customFormat="1" customHeight="1" spans="1:19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</row>
    <row r="335" s="66" customFormat="1" customHeight="1" spans="1:19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</row>
    <row r="336" s="66" customFormat="1" customHeight="1" spans="1:19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</row>
    <row r="337" s="66" customFormat="1" customHeight="1" spans="1:19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</row>
    <row r="338" s="66" customFormat="1" customHeight="1" spans="1:19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</row>
    <row r="339" s="66" customFormat="1" customHeight="1" spans="1:1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</row>
    <row r="340" s="66" customFormat="1" customHeight="1" spans="1:19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</row>
    <row r="341" s="66" customFormat="1" customHeight="1" spans="1:19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</row>
    <row r="342" s="66" customFormat="1" customHeight="1" spans="1:19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</row>
    <row r="343" s="66" customFormat="1" customHeight="1" spans="1:19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</row>
    <row r="344" s="66" customFormat="1" customHeight="1" spans="1:19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</row>
    <row r="345" s="66" customFormat="1" customHeight="1" spans="1:19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</row>
    <row r="346" s="66" customFormat="1" customHeight="1" spans="1:19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</row>
    <row r="347" s="66" customFormat="1" customHeight="1" spans="1:19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</row>
    <row r="348" s="66" customFormat="1" customHeight="1" spans="1:19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</row>
    <row r="349" s="66" customFormat="1" customHeight="1" spans="1:1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</row>
    <row r="350" s="66" customFormat="1" customHeight="1" spans="1:19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</row>
    <row r="351" s="66" customFormat="1" customHeight="1" spans="1:19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</row>
    <row r="352" s="66" customFormat="1" customHeight="1" spans="1:19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</row>
    <row r="353" s="66" customFormat="1" customHeight="1" spans="1:19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</row>
    <row r="354" s="66" customFormat="1" customHeight="1" spans="1:19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</row>
    <row r="355" s="66" customFormat="1" customHeight="1" spans="1:19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</row>
    <row r="356" s="66" customFormat="1" customHeight="1" spans="1:19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</row>
    <row r="357" s="66" customFormat="1" customHeight="1" spans="1:19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</row>
    <row r="358" s="66" customFormat="1" customHeight="1" spans="1:19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</row>
    <row r="359" s="66" customFormat="1" customHeight="1" spans="1:1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</row>
    <row r="360" s="66" customFormat="1" customHeight="1" spans="1:19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</row>
    <row r="361" s="66" customFormat="1" customHeight="1" spans="1:19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</row>
    <row r="362" s="66" customFormat="1" customHeight="1" spans="1:19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</row>
    <row r="363" s="66" customFormat="1" customHeight="1" spans="1:19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</row>
    <row r="364" s="66" customFormat="1" customHeight="1" spans="1:19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</row>
    <row r="365" s="66" customFormat="1" customHeight="1" spans="1:19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</row>
    <row r="366" s="66" customFormat="1" customHeight="1" spans="1:19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</row>
    <row r="367" s="66" customFormat="1" customHeight="1" spans="1:19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</row>
    <row r="368" s="66" customFormat="1" customHeight="1" spans="1:19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</row>
    <row r="369" s="66" customFormat="1" customHeight="1" spans="1:1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</row>
    <row r="370" s="66" customFormat="1" customHeight="1" spans="1:19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</row>
    <row r="371" s="66" customFormat="1" customHeight="1" spans="1:19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</row>
    <row r="372" s="66" customFormat="1" customHeight="1" spans="1:19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</row>
    <row r="373" s="66" customFormat="1" customHeight="1" spans="1:19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</row>
    <row r="374" s="66" customFormat="1" customHeight="1" spans="1:19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</row>
    <row r="375" s="66" customFormat="1" customHeight="1" spans="1:19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</row>
    <row r="376" s="66" customFormat="1" customHeight="1" spans="1:19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</row>
    <row r="377" s="66" customFormat="1" customHeight="1" spans="1:19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</row>
    <row r="378" s="66" customFormat="1" customHeight="1" spans="1:19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</row>
    <row r="379" s="66" customFormat="1" customHeight="1" spans="1:1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</row>
    <row r="380" s="66" customFormat="1" customHeight="1" spans="1:19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</row>
    <row r="381" s="66" customFormat="1" customHeight="1" spans="1:19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</row>
    <row r="382" s="66" customFormat="1" customHeight="1" spans="1:19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</row>
    <row r="383" s="66" customFormat="1" customHeight="1" spans="1:19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</row>
    <row r="384" s="66" customFormat="1" customHeight="1" spans="1:19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</row>
    <row r="385" s="66" customFormat="1" customHeight="1" spans="1:19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</row>
    <row r="386" s="66" customFormat="1" customHeight="1" spans="1:19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</row>
    <row r="387" s="66" customFormat="1" customHeight="1" spans="1:19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</row>
    <row r="388" s="66" customFormat="1" customHeight="1" spans="1:19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</row>
    <row r="389" s="66" customFormat="1" customHeight="1" spans="1:1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</row>
    <row r="390" s="66" customFormat="1" customHeight="1" spans="1:19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</row>
    <row r="391" s="66" customFormat="1" customHeight="1" spans="1:19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</row>
    <row r="392" s="66" customFormat="1" customHeight="1" spans="1:19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</row>
    <row r="393" s="66" customFormat="1" customHeight="1" spans="1:19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</row>
    <row r="394" s="66" customFormat="1" customHeight="1" spans="1:19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</row>
    <row r="395" s="66" customFormat="1" customHeight="1" spans="1:19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</row>
    <row r="396" s="66" customFormat="1" customHeight="1" spans="1:19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</row>
    <row r="397" s="66" customFormat="1" customHeight="1" spans="1:19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</row>
    <row r="398" s="66" customFormat="1" customHeight="1" spans="1:19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</row>
    <row r="399" s="66" customFormat="1" customHeight="1" spans="1:1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</row>
    <row r="400" s="66" customFormat="1" customHeight="1" spans="1:19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</row>
    <row r="401" s="66" customFormat="1" customHeight="1" spans="1:19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</row>
    <row r="402" s="66" customFormat="1" customHeight="1" spans="1:19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</row>
    <row r="403" s="66" customFormat="1" customHeight="1" spans="1:19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</row>
    <row r="404" s="66" customFormat="1" customHeight="1" spans="1:19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</row>
    <row r="405" s="66" customFormat="1" customHeight="1" spans="1:19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</row>
    <row r="406" s="66" customFormat="1" customHeight="1" spans="1:19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</row>
    <row r="407" s="66" customFormat="1" customHeight="1" spans="1:19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</row>
    <row r="408" s="66" customFormat="1" customHeight="1" spans="1:19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</row>
    <row r="409" s="66" customFormat="1" customHeight="1" spans="1:1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</row>
    <row r="410" s="66" customFormat="1" customHeight="1" spans="1:19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</row>
    <row r="411" s="66" customFormat="1" customHeight="1" spans="1:19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</row>
    <row r="412" s="66" customFormat="1" customHeight="1" spans="1:19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</row>
    <row r="413" s="66" customFormat="1" customHeight="1" spans="1:19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</row>
    <row r="414" s="66" customFormat="1" customHeight="1" spans="1:19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</row>
  </sheetData>
  <conditionalFormatting sqref="F1">
    <cfRule type="cellIs" dxfId="0" priority="3" operator="equal">
      <formula>"会签"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zoomScale="80" zoomScaleNormal="80" workbookViewId="0">
      <selection activeCell="F7" sqref="F7"/>
    </sheetView>
  </sheetViews>
  <sheetFormatPr defaultColWidth="8.88888888888889" defaultRowHeight="13.8"/>
  <cols>
    <col min="2" max="2" width="26.6666666666667" customWidth="1"/>
    <col min="3" max="4" width="22.7777777777778" customWidth="1"/>
    <col min="5" max="5" width="21.7777777777778" customWidth="1"/>
    <col min="6" max="6" width="18.6666666666667" customWidth="1"/>
    <col min="7" max="7" width="23.3333333333333" customWidth="1"/>
    <col min="8" max="8" width="19.8888888888889" customWidth="1"/>
    <col min="9" max="9" width="16.4444444444444" customWidth="1"/>
    <col min="10" max="10" width="16.7777777777778" customWidth="1"/>
    <col min="11" max="11" width="17.1111111111111" customWidth="1"/>
    <col min="12" max="12" width="17.7777777777778" customWidth="1"/>
    <col min="13" max="13" width="17.3333333333333" customWidth="1"/>
    <col min="14" max="14" width="18.6666666666667" customWidth="1"/>
    <col min="15" max="15" width="17.3333333333333" customWidth="1"/>
    <col min="16" max="16" width="16.7777777777778" customWidth="1"/>
    <col min="17" max="17" width="13.6666666666667" customWidth="1"/>
    <col min="18" max="18" width="11.6666666666667" customWidth="1"/>
  </cols>
  <sheetData>
    <row r="1" s="13" customFormat="1" ht="24.75" customHeight="1" spans="1:18">
      <c r="A1" s="14" t="s">
        <v>50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55"/>
      <c r="R1" s="56"/>
    </row>
    <row r="2" s="13" customFormat="1" ht="42.75" customHeight="1" spans="1:18">
      <c r="A2" s="16" t="s">
        <v>1</v>
      </c>
      <c r="B2" s="17" t="s">
        <v>2</v>
      </c>
      <c r="C2" s="17" t="s">
        <v>3</v>
      </c>
      <c r="D2" s="18" t="s">
        <v>51</v>
      </c>
      <c r="E2" s="18" t="s">
        <v>52</v>
      </c>
      <c r="F2" s="18" t="s">
        <v>7</v>
      </c>
      <c r="G2" s="19" t="s">
        <v>8</v>
      </c>
      <c r="H2" s="20" t="s">
        <v>53</v>
      </c>
      <c r="I2" s="20" t="s">
        <v>54</v>
      </c>
      <c r="J2" s="43"/>
      <c r="K2" s="43"/>
      <c r="L2" s="43"/>
      <c r="M2" s="43"/>
      <c r="N2" s="43"/>
      <c r="O2" s="43"/>
      <c r="P2" s="44"/>
      <c r="Q2" s="57" t="s">
        <v>14</v>
      </c>
      <c r="R2" s="58" t="s">
        <v>15</v>
      </c>
    </row>
    <row r="3" s="13" customFormat="1" ht="33.75" customHeight="1" spans="1:18">
      <c r="A3" s="21"/>
      <c r="B3" s="21"/>
      <c r="C3" s="22"/>
      <c r="D3" s="22"/>
      <c r="E3" s="22"/>
      <c r="F3" s="22"/>
      <c r="G3" s="23" t="s">
        <v>16</v>
      </c>
      <c r="H3" s="24" t="s">
        <v>55</v>
      </c>
      <c r="I3" s="45" t="s">
        <v>56</v>
      </c>
      <c r="J3" s="46" t="s">
        <v>57</v>
      </c>
      <c r="K3" s="45" t="s">
        <v>58</v>
      </c>
      <c r="L3" s="45" t="s">
        <v>59</v>
      </c>
      <c r="M3" s="47" t="s">
        <v>60</v>
      </c>
      <c r="N3" s="48" t="s">
        <v>61</v>
      </c>
      <c r="O3" s="45" t="s">
        <v>62</v>
      </c>
      <c r="P3" s="49" t="s">
        <v>63</v>
      </c>
      <c r="Q3" s="59"/>
      <c r="R3" s="60"/>
    </row>
    <row r="4" s="13" customFormat="1" ht="71.25" customHeight="1" spans="1:18">
      <c r="A4" s="25"/>
      <c r="B4" s="26"/>
      <c r="C4" s="27"/>
      <c r="D4" s="28" t="s">
        <v>64</v>
      </c>
      <c r="E4" s="28" t="s">
        <v>65</v>
      </c>
      <c r="F4" s="29"/>
      <c r="G4" s="30"/>
      <c r="H4" s="31" t="s">
        <v>66</v>
      </c>
      <c r="I4" s="50" t="s">
        <v>67</v>
      </c>
      <c r="J4" s="50" t="s">
        <v>67</v>
      </c>
      <c r="K4" s="50" t="s">
        <v>67</v>
      </c>
      <c r="L4" s="50" t="s">
        <v>67</v>
      </c>
      <c r="M4" s="50" t="s">
        <v>67</v>
      </c>
      <c r="N4" s="50" t="s">
        <v>67</v>
      </c>
      <c r="O4" s="50" t="s">
        <v>67</v>
      </c>
      <c r="P4" s="50" t="s">
        <v>67</v>
      </c>
      <c r="Q4" s="31" t="s">
        <v>68</v>
      </c>
      <c r="R4" s="60"/>
    </row>
    <row r="5" s="13" customFormat="1" ht="54" customHeight="1" spans="1:18">
      <c r="A5" s="32">
        <v>1</v>
      </c>
      <c r="B5" s="33"/>
      <c r="C5" s="33"/>
      <c r="D5" s="33"/>
      <c r="E5" s="33"/>
      <c r="F5" s="34">
        <f>IFERROR(E5/D5,IF(D5=0,1,0))</f>
        <v>1</v>
      </c>
      <c r="G5" s="35" t="s">
        <v>69</v>
      </c>
      <c r="H5" s="36"/>
      <c r="I5" s="32"/>
      <c r="J5" s="33"/>
      <c r="K5" s="33"/>
      <c r="L5" s="33"/>
      <c r="M5" s="33"/>
      <c r="N5" s="51"/>
      <c r="O5" s="51"/>
      <c r="P5" s="52"/>
      <c r="Q5" s="61"/>
      <c r="R5" s="62"/>
    </row>
    <row r="6" s="13" customFormat="1" ht="39" customHeight="1" spans="1:18">
      <c r="A6" s="37" t="s">
        <v>70</v>
      </c>
      <c r="B6" s="38"/>
      <c r="C6" s="39"/>
      <c r="D6" s="40">
        <f>SUM(D5:D5)</f>
        <v>0</v>
      </c>
      <c r="E6" s="40">
        <f>SUM(E5:E5)</f>
        <v>0</v>
      </c>
      <c r="F6" s="41">
        <f>IFERROR(E6/D6,IF(D6=0,0,1))</f>
        <v>0</v>
      </c>
      <c r="G6" s="42" t="s">
        <v>71</v>
      </c>
      <c r="H6" s="37">
        <f t="shared" ref="H6:Q6" si="0">SUM(H5:H5)</f>
        <v>0</v>
      </c>
      <c r="I6" s="53">
        <f t="shared" si="0"/>
        <v>0</v>
      </c>
      <c r="J6" s="40">
        <f t="shared" si="0"/>
        <v>0</v>
      </c>
      <c r="K6" s="40">
        <f t="shared" si="0"/>
        <v>0</v>
      </c>
      <c r="L6" s="40">
        <f t="shared" si="0"/>
        <v>0</v>
      </c>
      <c r="M6" s="39">
        <f t="shared" si="0"/>
        <v>0</v>
      </c>
      <c r="N6" s="39">
        <f t="shared" si="0"/>
        <v>0</v>
      </c>
      <c r="O6" s="39">
        <f t="shared" si="0"/>
        <v>0</v>
      </c>
      <c r="P6" s="54">
        <f t="shared" si="0"/>
        <v>0</v>
      </c>
      <c r="Q6" s="54">
        <f t="shared" si="0"/>
        <v>0</v>
      </c>
      <c r="R6" s="63"/>
    </row>
    <row r="10" spans="18:18">
      <c r="R10" s="64"/>
    </row>
  </sheetData>
  <mergeCells count="12">
    <mergeCell ref="A1:R1"/>
    <mergeCell ref="I2:P2"/>
    <mergeCell ref="A4:C4"/>
    <mergeCell ref="A6:C6"/>
    <mergeCell ref="A2:A3"/>
    <mergeCell ref="B2:B3"/>
    <mergeCell ref="C2:C3"/>
    <mergeCell ref="D2:D3"/>
    <mergeCell ref="E2:E3"/>
    <mergeCell ref="F2:F3"/>
    <mergeCell ref="Q2:Q3"/>
    <mergeCell ref="R2:R3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"/>
  <sheetViews>
    <sheetView zoomScale="80" zoomScaleNormal="80" workbookViewId="0">
      <selection activeCell="A5" sqref="A5"/>
    </sheetView>
  </sheetViews>
  <sheetFormatPr defaultColWidth="8.88888888888889" defaultRowHeight="13.8" outlineLevelRow="4"/>
  <cols>
    <col min="1" max="1" width="8.88888888888889" customWidth="1"/>
    <col min="2" max="2" width="17.7777777777778" customWidth="1"/>
    <col min="3" max="3" width="42.7777777777778" customWidth="1"/>
    <col min="4" max="5" width="17.7777777777778" customWidth="1"/>
    <col min="6" max="6" width="20.7777777777778" customWidth="1"/>
    <col min="7" max="7" width="16.7777777777778" customWidth="1"/>
    <col min="8" max="9" width="17.7777777777778" customWidth="1"/>
    <col min="10" max="10" width="16.7777777777778" customWidth="1"/>
    <col min="11" max="12" width="17.7777777777778" customWidth="1"/>
    <col min="13" max="13" width="16.7777777777778" customWidth="1"/>
    <col min="14" max="15" width="17.7777777777778" customWidth="1"/>
    <col min="16" max="16" width="16.7777777777778" customWidth="1"/>
    <col min="17" max="18" width="17.7777777777778" customWidth="1"/>
    <col min="19" max="19" width="16.7777777777778" customWidth="1"/>
    <col min="20" max="21" width="17.7777777777778" customWidth="1"/>
    <col min="22" max="22" width="16.7777777777778" customWidth="1"/>
    <col min="23" max="24" width="17.7777777777778" customWidth="1"/>
    <col min="25" max="25" width="16.7777777777778" customWidth="1"/>
    <col min="26" max="27" width="17.7777777777778" customWidth="1"/>
    <col min="28" max="28" width="16.7777777777778" customWidth="1"/>
    <col min="29" max="30" width="17.7777777777778" customWidth="1"/>
    <col min="31" max="31" width="16.7777777777778" customWidth="1"/>
  </cols>
  <sheetData>
    <row r="1" s="1" customFormat="1" ht="24.75" customHeight="1" spans="1:32">
      <c r="A1" s="2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="1" customFormat="1" ht="42.75" customHeight="1" spans="1:32">
      <c r="A2" s="3" t="s">
        <v>1</v>
      </c>
      <c r="B2" s="4" t="s">
        <v>73</v>
      </c>
      <c r="C2" s="5" t="s">
        <v>34</v>
      </c>
      <c r="D2" s="4" t="s">
        <v>74</v>
      </c>
      <c r="E2" s="5" t="s">
        <v>2</v>
      </c>
      <c r="F2" s="3" t="s">
        <v>3</v>
      </c>
      <c r="G2" s="4" t="s">
        <v>8</v>
      </c>
      <c r="H2" s="6" t="s">
        <v>75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3" t="s">
        <v>15</v>
      </c>
    </row>
    <row r="3" s="1" customFormat="1" ht="42.75" customHeight="1" spans="1:32">
      <c r="A3" s="3"/>
      <c r="B3" s="7"/>
      <c r="C3" s="8"/>
      <c r="D3" s="7"/>
      <c r="E3" s="8"/>
      <c r="F3" s="3"/>
      <c r="G3" s="9"/>
      <c r="H3" s="10" t="s">
        <v>56</v>
      </c>
      <c r="I3" s="10"/>
      <c r="J3" s="10"/>
      <c r="K3" s="3" t="s">
        <v>57</v>
      </c>
      <c r="L3" s="3"/>
      <c r="M3" s="3"/>
      <c r="N3" s="3" t="s">
        <v>58</v>
      </c>
      <c r="O3" s="3"/>
      <c r="P3" s="3"/>
      <c r="Q3" s="3" t="s">
        <v>59</v>
      </c>
      <c r="R3" s="3"/>
      <c r="S3" s="3"/>
      <c r="T3" s="3" t="s">
        <v>60</v>
      </c>
      <c r="U3" s="3"/>
      <c r="V3" s="3"/>
      <c r="W3" s="3" t="s">
        <v>61</v>
      </c>
      <c r="X3" s="3"/>
      <c r="Y3" s="3"/>
      <c r="Z3" s="3" t="s">
        <v>62</v>
      </c>
      <c r="AA3" s="3"/>
      <c r="AB3" s="3"/>
      <c r="AC3" s="10" t="s">
        <v>63</v>
      </c>
      <c r="AD3" s="10"/>
      <c r="AE3" s="10"/>
      <c r="AF3" s="3"/>
    </row>
    <row r="4" s="1" customFormat="1" ht="33.75" customHeight="1" spans="1:32">
      <c r="A4" s="3"/>
      <c r="B4" s="9"/>
      <c r="C4" s="11"/>
      <c r="D4" s="9"/>
      <c r="E4" s="11"/>
      <c r="F4" s="3"/>
      <c r="G4" s="3" t="s">
        <v>16</v>
      </c>
      <c r="H4" s="10" t="s">
        <v>76</v>
      </c>
      <c r="I4" s="10" t="s">
        <v>77</v>
      </c>
      <c r="J4" s="10" t="s">
        <v>78</v>
      </c>
      <c r="K4" s="10" t="s">
        <v>76</v>
      </c>
      <c r="L4" s="10" t="s">
        <v>77</v>
      </c>
      <c r="M4" s="10" t="s">
        <v>78</v>
      </c>
      <c r="N4" s="10" t="s">
        <v>76</v>
      </c>
      <c r="O4" s="10" t="s">
        <v>77</v>
      </c>
      <c r="P4" s="10" t="s">
        <v>78</v>
      </c>
      <c r="Q4" s="10" t="s">
        <v>76</v>
      </c>
      <c r="R4" s="10" t="s">
        <v>77</v>
      </c>
      <c r="S4" s="10" t="s">
        <v>78</v>
      </c>
      <c r="T4" s="10" t="s">
        <v>76</v>
      </c>
      <c r="U4" s="10" t="s">
        <v>77</v>
      </c>
      <c r="V4" s="10" t="s">
        <v>78</v>
      </c>
      <c r="W4" s="10" t="s">
        <v>76</v>
      </c>
      <c r="X4" s="10" t="s">
        <v>77</v>
      </c>
      <c r="Y4" s="10" t="s">
        <v>78</v>
      </c>
      <c r="Z4" s="10" t="s">
        <v>76</v>
      </c>
      <c r="AA4" s="10" t="s">
        <v>77</v>
      </c>
      <c r="AB4" s="10" t="s">
        <v>78</v>
      </c>
      <c r="AC4" s="10" t="s">
        <v>76</v>
      </c>
      <c r="AD4" s="10" t="s">
        <v>77</v>
      </c>
      <c r="AE4" s="10" t="s">
        <v>78</v>
      </c>
      <c r="AF4" s="3"/>
    </row>
    <row r="5" spans="1:1">
      <c r="A5" s="12"/>
    </row>
  </sheetData>
  <mergeCells count="18">
    <mergeCell ref="A1:AF1"/>
    <mergeCell ref="H2:AE2"/>
    <mergeCell ref="H3:J3"/>
    <mergeCell ref="K3:M3"/>
    <mergeCell ref="N3:P3"/>
    <mergeCell ref="Q3:S3"/>
    <mergeCell ref="T3:V3"/>
    <mergeCell ref="W3:Y3"/>
    <mergeCell ref="Z3:AB3"/>
    <mergeCell ref="AC3:AE3"/>
    <mergeCell ref="A2:A4"/>
    <mergeCell ref="B2:B4"/>
    <mergeCell ref="C2:C4"/>
    <mergeCell ref="D2:D4"/>
    <mergeCell ref="E2:E4"/>
    <mergeCell ref="F2:F4"/>
    <mergeCell ref="G2:G3"/>
    <mergeCell ref="AF2:AF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PLM系统ECR状态统计</vt:lpstr>
      <vt:lpstr>ECR变更请求任务状态</vt:lpstr>
      <vt:lpstr>PLM系统ECO状态统计</vt:lpstr>
      <vt:lpstr>ECO执行计划状态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lcy</dc:creator>
  <cp:lastModifiedBy>陈玉龙</cp:lastModifiedBy>
  <dcterms:created xsi:type="dcterms:W3CDTF">2024-12-25T03:51:00Z</dcterms:created>
  <dcterms:modified xsi:type="dcterms:W3CDTF">2025-05-15T06:14:47Z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3DC6DDBFA8FC47549D528E0EA14944D9_13</vt:lpwstr>
  </property>
</Properties>
</file>